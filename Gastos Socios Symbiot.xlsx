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erv\www\symbiot\symbiot_finance_manager\"/>
    </mc:Choice>
  </mc:AlternateContent>
  <xr:revisionPtr revIDLastSave="0" documentId="13_ncr:1_{0D9EECBC-ED61-4267-AFD9-1148193742B6}" xr6:coauthVersionLast="47" xr6:coauthVersionMax="47" xr10:uidLastSave="{00000000-0000-0000-0000-000000000000}"/>
  <bookViews>
    <workbookView xWindow="-103" yWindow="-103" windowWidth="24892" windowHeight="14914" tabRatio="773" activeTab="2" xr2:uid="{9089598D-A971-4695-A3E9-38E00D99589C}"/>
  </bookViews>
  <sheets>
    <sheet name="Ingresos Symbiot" sheetId="11" r:id="rId1"/>
    <sheet name="Gastos Symbiot" sheetId="2" r:id="rId2"/>
    <sheet name="Ingresos RockstarSkull" sheetId="7" r:id="rId3"/>
    <sheet name="Gastos RockstarSkull" sheetId="3" r:id="rId4"/>
    <sheet name="Ingresos por Maestro" sheetId="16" r:id="rId5"/>
    <sheet name="Grafico de gastos por socio" sheetId="4" r:id="rId6"/>
  </sheets>
  <externalReferences>
    <externalReference r:id="rId7"/>
  </externalReferences>
  <definedNames>
    <definedName name="_xlnm._FilterDatabase" localSheetId="3" hidden="1">'Gastos RockstarSkull'!$A$1:$K$1</definedName>
    <definedName name="_xlnm._FilterDatabase" localSheetId="1" hidden="1">'Gastos Symbiot'!$A$1:$G$1</definedName>
    <definedName name="_xlnm._FilterDatabase" localSheetId="2" hidden="1">'Ingresos RockstarSkull'!$A$1:$R$1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8" i="3" l="1"/>
  <c r="H701" i="3" l="1"/>
  <c r="H687" i="3"/>
  <c r="H681" i="3"/>
  <c r="H682" i="3"/>
  <c r="H683" i="3"/>
  <c r="H691" i="3"/>
  <c r="H680" i="3"/>
  <c r="H684" i="3"/>
  <c r="H685" i="3"/>
  <c r="H686" i="3"/>
  <c r="H688" i="3"/>
  <c r="H689" i="3"/>
  <c r="H690" i="3"/>
  <c r="H692" i="3"/>
  <c r="H693" i="3"/>
  <c r="H694" i="3"/>
  <c r="H695" i="3"/>
  <c r="H696" i="3"/>
  <c r="H697" i="3"/>
  <c r="H698" i="3"/>
  <c r="H699" i="3"/>
  <c r="H700" i="3"/>
  <c r="H702" i="3"/>
  <c r="H706" i="3"/>
  <c r="H707" i="3"/>
  <c r="H708" i="3"/>
  <c r="H709" i="3"/>
  <c r="H710" i="3"/>
  <c r="H711" i="3"/>
  <c r="H712" i="3"/>
  <c r="H713" i="3"/>
  <c r="H716" i="3"/>
  <c r="H719" i="3"/>
  <c r="H720" i="3"/>
  <c r="H721" i="3"/>
  <c r="H722" i="3"/>
  <c r="H723" i="3"/>
  <c r="H724" i="3"/>
  <c r="H725" i="3"/>
  <c r="H726" i="3"/>
  <c r="H727" i="3"/>
  <c r="H728" i="3"/>
  <c r="H704" i="3"/>
  <c r="H714" i="3"/>
  <c r="H715" i="3"/>
  <c r="H717" i="3"/>
  <c r="H703" i="3"/>
  <c r="H729" i="3"/>
  <c r="H705" i="3"/>
  <c r="H730" i="3"/>
  <c r="H731" i="3"/>
  <c r="H732" i="3"/>
  <c r="H733" i="3"/>
  <c r="H734" i="3"/>
  <c r="H735" i="3"/>
  <c r="H736" i="3"/>
  <c r="AT114" i="7"/>
  <c r="AS120" i="7"/>
  <c r="Q99" i="7"/>
  <c r="AV99" i="7"/>
  <c r="AS114" i="7"/>
  <c r="Q21" i="7"/>
  <c r="AV21" i="7"/>
  <c r="H604" i="3"/>
  <c r="H616" i="3"/>
  <c r="Q4" i="7"/>
  <c r="H647" i="3"/>
  <c r="H634" i="3"/>
  <c r="H668" i="3"/>
  <c r="H645" i="3"/>
  <c r="H615" i="3"/>
  <c r="G671" i="3"/>
  <c r="H671" i="3" s="1"/>
  <c r="G672" i="3"/>
  <c r="H672" i="3" s="1"/>
  <c r="G674" i="3"/>
  <c r="H674" i="3" s="1"/>
  <c r="H667" i="3"/>
  <c r="H673" i="3"/>
  <c r="H675" i="3"/>
  <c r="H676" i="3"/>
  <c r="H677" i="3"/>
  <c r="H678" i="3"/>
  <c r="H679" i="3"/>
  <c r="H658" i="3"/>
  <c r="G648" i="3"/>
  <c r="H648" i="3" s="1"/>
  <c r="H665" i="3"/>
  <c r="H670" i="3"/>
  <c r="H664" i="3"/>
  <c r="H659" i="3"/>
  <c r="H663" i="3"/>
  <c r="H662" i="3"/>
  <c r="H661" i="3"/>
  <c r="H660" i="3"/>
  <c r="H654" i="3"/>
  <c r="H650" i="3"/>
  <c r="H649" i="3"/>
  <c r="AV3" i="7"/>
  <c r="AV5" i="7"/>
  <c r="AV6" i="7"/>
  <c r="AV7" i="7"/>
  <c r="AV8" i="7"/>
  <c r="AV9" i="7"/>
  <c r="AV10" i="7"/>
  <c r="AV11" i="7"/>
  <c r="AV12" i="7"/>
  <c r="AV13" i="7"/>
  <c r="AV15" i="7"/>
  <c r="AV16" i="7"/>
  <c r="AV17" i="7"/>
  <c r="AV18" i="7"/>
  <c r="AV19" i="7"/>
  <c r="AV20" i="7"/>
  <c r="AV22" i="7"/>
  <c r="AV23" i="7"/>
  <c r="AV24" i="7"/>
  <c r="AV25" i="7"/>
  <c r="AV26" i="7"/>
  <c r="AV27" i="7"/>
  <c r="AV28" i="7"/>
  <c r="AV29" i="7"/>
  <c r="AV30" i="7"/>
  <c r="AV31" i="7"/>
  <c r="AV33" i="7"/>
  <c r="AV34" i="7"/>
  <c r="AV37" i="7"/>
  <c r="AV38" i="7"/>
  <c r="AV39" i="7"/>
  <c r="AV40" i="7"/>
  <c r="AV41" i="7"/>
  <c r="AV42" i="7"/>
  <c r="AV43" i="7"/>
  <c r="AV44" i="7"/>
  <c r="AV45" i="7"/>
  <c r="AV47" i="7"/>
  <c r="AV48" i="7"/>
  <c r="AV49" i="7"/>
  <c r="AV50" i="7"/>
  <c r="AV51" i="7"/>
  <c r="AV52" i="7"/>
  <c r="AV53" i="7"/>
  <c r="AV54" i="7"/>
  <c r="AV57" i="7"/>
  <c r="AV58" i="7"/>
  <c r="AV59" i="7"/>
  <c r="AV60" i="7"/>
  <c r="AV61" i="7"/>
  <c r="AV62" i="7"/>
  <c r="AV64" i="7"/>
  <c r="AV65" i="7"/>
  <c r="AV66" i="7"/>
  <c r="AV68" i="7"/>
  <c r="AV69" i="7"/>
  <c r="AV70" i="7"/>
  <c r="AV71" i="7"/>
  <c r="AV72" i="7"/>
  <c r="AV73" i="7"/>
  <c r="AV74" i="7"/>
  <c r="AV75" i="7"/>
  <c r="AV76" i="7"/>
  <c r="AV77" i="7"/>
  <c r="AV78" i="7"/>
  <c r="AV79" i="7"/>
  <c r="AV80" i="7"/>
  <c r="AV82" i="7"/>
  <c r="AV83" i="7"/>
  <c r="AV84" i="7"/>
  <c r="AV86" i="7"/>
  <c r="AV88" i="7"/>
  <c r="AV89" i="7"/>
  <c r="AV90" i="7"/>
  <c r="AV91" i="7"/>
  <c r="AV92" i="7"/>
  <c r="AV93" i="7"/>
  <c r="AV94" i="7"/>
  <c r="AV95" i="7"/>
  <c r="AV96" i="7"/>
  <c r="AV97" i="7"/>
  <c r="AV98" i="7"/>
  <c r="AV100" i="7"/>
  <c r="AV101" i="7"/>
  <c r="AV102" i="7"/>
  <c r="AV104" i="7"/>
  <c r="AV105" i="7"/>
  <c r="AV106" i="7"/>
  <c r="AV107" i="7"/>
  <c r="AV108" i="7"/>
  <c r="AV109" i="7"/>
  <c r="AV63" i="7"/>
  <c r="AV110" i="7"/>
  <c r="AV111" i="7"/>
  <c r="AV112" i="7"/>
  <c r="AV113" i="7"/>
  <c r="Q45" i="7"/>
  <c r="AR114" i="7"/>
  <c r="Q37" i="7"/>
  <c r="Q88" i="7"/>
  <c r="Q94" i="7"/>
  <c r="Q38" i="7"/>
  <c r="Q31" i="7"/>
  <c r="Q63" i="7"/>
  <c r="Q110" i="7"/>
  <c r="Q111" i="7"/>
  <c r="Q112" i="7"/>
  <c r="Q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K114" i="7"/>
  <c r="AN114" i="7"/>
  <c r="AP114" i="7"/>
  <c r="AQ114" i="7"/>
  <c r="L8" i="11"/>
  <c r="G53" i="2"/>
  <c r="G56" i="2"/>
  <c r="G57" i="2"/>
  <c r="G58" i="2"/>
  <c r="G59" i="2"/>
  <c r="G60" i="2"/>
  <c r="G61" i="2"/>
  <c r="G62" i="2"/>
  <c r="G63" i="2"/>
  <c r="G64" i="2"/>
  <c r="G65" i="2"/>
  <c r="G66" i="2"/>
  <c r="G67" i="2"/>
  <c r="F16" i="2"/>
  <c r="G16" i="2" s="1"/>
  <c r="G52" i="2"/>
  <c r="G50" i="2"/>
  <c r="G51" i="2"/>
  <c r="G54" i="2"/>
  <c r="G55" i="2"/>
  <c r="H643" i="3"/>
  <c r="H646" i="3"/>
  <c r="H633" i="3"/>
  <c r="H635" i="3"/>
  <c r="H644" i="3"/>
  <c r="H637" i="3"/>
  <c r="H655" i="3"/>
  <c r="H656" i="3"/>
  <c r="H657" i="3"/>
  <c r="H666" i="3"/>
  <c r="H669" i="3"/>
  <c r="H636" i="3"/>
  <c r="H651" i="3"/>
  <c r="H652" i="3"/>
  <c r="H653" i="3"/>
  <c r="H638" i="3"/>
  <c r="H639" i="3"/>
  <c r="H630" i="3"/>
  <c r="H631" i="3"/>
  <c r="H632" i="3"/>
  <c r="H640" i="3"/>
  <c r="H641" i="3"/>
  <c r="H642" i="3"/>
  <c r="G49" i="2"/>
  <c r="G48" i="2"/>
  <c r="F45" i="2"/>
  <c r="H601" i="3"/>
  <c r="H603" i="3"/>
  <c r="H23" i="16"/>
  <c r="H24" i="16"/>
  <c r="H25" i="16"/>
  <c r="H26" i="16"/>
  <c r="H27" i="16"/>
  <c r="H29" i="16"/>
  <c r="H609" i="3"/>
  <c r="H611" i="3"/>
  <c r="H608" i="3"/>
  <c r="H607" i="3"/>
  <c r="H605" i="3"/>
  <c r="H629" i="3"/>
  <c r="H628" i="3"/>
  <c r="H627" i="3"/>
  <c r="H625" i="3"/>
  <c r="H624" i="3"/>
  <c r="H623" i="3"/>
  <c r="G606" i="3"/>
  <c r="H606" i="3" s="1"/>
  <c r="Q61" i="7"/>
  <c r="Q62" i="7"/>
  <c r="Q104" i="7"/>
  <c r="Q107" i="7"/>
  <c r="Q92" i="7"/>
  <c r="H600" i="3"/>
  <c r="H602" i="3"/>
  <c r="H610" i="3"/>
  <c r="H612" i="3"/>
  <c r="H613" i="3"/>
  <c r="H614" i="3"/>
  <c r="H617" i="3"/>
  <c r="H618" i="3"/>
  <c r="H619" i="3"/>
  <c r="H620" i="3"/>
  <c r="H621" i="3"/>
  <c r="H622" i="3"/>
  <c r="H580" i="3"/>
  <c r="H581" i="3"/>
  <c r="H577" i="3"/>
  <c r="H589" i="3"/>
  <c r="H560" i="3"/>
  <c r="H564" i="3"/>
  <c r="H559" i="3"/>
  <c r="H573" i="3"/>
  <c r="H588" i="3"/>
  <c r="H583" i="3"/>
  <c r="H582" i="3"/>
  <c r="H574" i="3"/>
  <c r="H562" i="3"/>
  <c r="G597" i="3"/>
  <c r="H597" i="3" s="1"/>
  <c r="H599" i="3"/>
  <c r="H598" i="3"/>
  <c r="H596" i="3"/>
  <c r="H566" i="3"/>
  <c r="H567" i="3"/>
  <c r="H568" i="3"/>
  <c r="H569" i="3"/>
  <c r="H570" i="3"/>
  <c r="H571" i="3"/>
  <c r="H572" i="3"/>
  <c r="H565" i="3"/>
  <c r="H563" i="3"/>
  <c r="H595" i="3"/>
  <c r="H594" i="3"/>
  <c r="H593" i="3"/>
  <c r="H592" i="3"/>
  <c r="H591" i="3"/>
  <c r="H590" i="3"/>
  <c r="H579" i="3"/>
  <c r="H578" i="3"/>
  <c r="H576" i="3"/>
  <c r="H561" i="3"/>
  <c r="G554" i="3"/>
  <c r="H554" i="3" s="1"/>
  <c r="G587" i="3"/>
  <c r="H587" i="3" s="1"/>
  <c r="G586" i="3"/>
  <c r="H586" i="3" s="1"/>
  <c r="G585" i="3"/>
  <c r="H585" i="3" s="1"/>
  <c r="G584" i="3"/>
  <c r="H584" i="3" s="1"/>
  <c r="Q105" i="7"/>
  <c r="Q5" i="7"/>
  <c r="Q8" i="7"/>
  <c r="Q18" i="7"/>
  <c r="Q28" i="7"/>
  <c r="Q42" i="7"/>
  <c r="Q15" i="7"/>
  <c r="Q101" i="7"/>
  <c r="AO103" i="7"/>
  <c r="AV103" i="7" s="1"/>
  <c r="AO81" i="7"/>
  <c r="AV81" i="7" s="1"/>
  <c r="AO35" i="7"/>
  <c r="AO46" i="7"/>
  <c r="AO36" i="7"/>
  <c r="AO67" i="7"/>
  <c r="AO4" i="7"/>
  <c r="AV2" i="7"/>
  <c r="Q2" i="7"/>
  <c r="Q81" i="7"/>
  <c r="Q103" i="7"/>
  <c r="AV87" i="7"/>
  <c r="Q97" i="7"/>
  <c r="Q17" i="7"/>
  <c r="Q77" i="7"/>
  <c r="Q87" i="7"/>
  <c r="Q24" i="7"/>
  <c r="Q34" i="7"/>
  <c r="AG14" i="7"/>
  <c r="AG85" i="7"/>
  <c r="AG32" i="7"/>
  <c r="AG55" i="7"/>
  <c r="AG56" i="7"/>
  <c r="AV56" i="7" s="1"/>
  <c r="AH14" i="7"/>
  <c r="AH85" i="7"/>
  <c r="AI14" i="7"/>
  <c r="AI85" i="7"/>
  <c r="AJ14" i="7"/>
  <c r="AJ85" i="7"/>
  <c r="AL67" i="7"/>
  <c r="AL36" i="7"/>
  <c r="AM67" i="7"/>
  <c r="AM36" i="7"/>
  <c r="Q100" i="7"/>
  <c r="Q51" i="7"/>
  <c r="Q54" i="7"/>
  <c r="Q83" i="7"/>
  <c r="Q44" i="7"/>
  <c r="Q47" i="7"/>
  <c r="Q12" i="7"/>
  <c r="Q84" i="7"/>
  <c r="AY40" i="7"/>
  <c r="Q46" i="7"/>
  <c r="H558" i="3"/>
  <c r="H528" i="3"/>
  <c r="H547" i="3"/>
  <c r="H545" i="3"/>
  <c r="H544" i="3"/>
  <c r="H536" i="3"/>
  <c r="H529" i="3"/>
  <c r="H510" i="3"/>
  <c r="H548" i="3"/>
  <c r="H530" i="3"/>
  <c r="H546" i="3"/>
  <c r="H539" i="3"/>
  <c r="H527" i="3"/>
  <c r="G537" i="3"/>
  <c r="H537" i="3" s="1"/>
  <c r="H526" i="3"/>
  <c r="H525" i="3"/>
  <c r="H509" i="3"/>
  <c r="H506" i="3"/>
  <c r="H503" i="3"/>
  <c r="H507" i="3"/>
  <c r="H508" i="3"/>
  <c r="H511" i="3"/>
  <c r="H512" i="3"/>
  <c r="H513" i="3"/>
  <c r="H514" i="3"/>
  <c r="H515" i="3"/>
  <c r="H516" i="3"/>
  <c r="H517" i="3"/>
  <c r="H518" i="3"/>
  <c r="H519" i="3"/>
  <c r="H520" i="3"/>
  <c r="H522" i="3"/>
  <c r="H523" i="3"/>
  <c r="H524" i="3"/>
  <c r="H531" i="3"/>
  <c r="H532" i="3"/>
  <c r="H533" i="3"/>
  <c r="H534" i="3"/>
  <c r="H535" i="3"/>
  <c r="H538" i="3"/>
  <c r="H540" i="3"/>
  <c r="H541" i="3"/>
  <c r="H542" i="3"/>
  <c r="H543" i="3"/>
  <c r="H549" i="3"/>
  <c r="H550" i="3"/>
  <c r="H551" i="3"/>
  <c r="H552" i="3"/>
  <c r="H553" i="3"/>
  <c r="G38" i="2"/>
  <c r="G32" i="2"/>
  <c r="G33" i="2"/>
  <c r="G34" i="2"/>
  <c r="G43" i="2"/>
  <c r="G42" i="2"/>
  <c r="G40" i="2"/>
  <c r="G41" i="2"/>
  <c r="G44" i="2"/>
  <c r="G45" i="2"/>
  <c r="G46" i="2"/>
  <c r="G39" i="2"/>
  <c r="H555" i="3"/>
  <c r="G22" i="2"/>
  <c r="H505" i="3"/>
  <c r="H504" i="3"/>
  <c r="H500" i="3"/>
  <c r="H499" i="3"/>
  <c r="H502" i="3"/>
  <c r="H496" i="3"/>
  <c r="H498" i="3"/>
  <c r="Q20" i="7"/>
  <c r="Q93" i="7"/>
  <c r="Q30" i="7"/>
  <c r="Q29" i="7"/>
  <c r="Q23" i="7"/>
  <c r="Q35" i="7"/>
  <c r="G35" i="2"/>
  <c r="G21" i="2"/>
  <c r="G28" i="2"/>
  <c r="G27" i="2"/>
  <c r="G26" i="2"/>
  <c r="F30" i="2"/>
  <c r="G30" i="2"/>
  <c r="H423" i="3"/>
  <c r="H426" i="3"/>
  <c r="H452" i="3"/>
  <c r="H486" i="3"/>
  <c r="H487" i="3"/>
  <c r="H484" i="3"/>
  <c r="H483" i="3"/>
  <c r="H478" i="3"/>
  <c r="H479" i="3"/>
  <c r="G25" i="2"/>
  <c r="G31" i="2"/>
  <c r="G29" i="2"/>
  <c r="G24" i="2"/>
  <c r="G23" i="2"/>
  <c r="H422" i="3"/>
  <c r="H445" i="3"/>
  <c r="H473" i="3"/>
  <c r="H495" i="3"/>
  <c r="H476" i="3"/>
  <c r="H462" i="3"/>
  <c r="H464" i="3"/>
  <c r="H465" i="3"/>
  <c r="H466" i="3"/>
  <c r="H467" i="3"/>
  <c r="H469" i="3"/>
  <c r="H470" i="3"/>
  <c r="H471" i="3"/>
  <c r="H472" i="3"/>
  <c r="H409" i="3"/>
  <c r="H410" i="3"/>
  <c r="H442" i="3"/>
  <c r="H443" i="3"/>
  <c r="H444" i="3"/>
  <c r="H446" i="3"/>
  <c r="H447" i="3"/>
  <c r="H433" i="3"/>
  <c r="H431" i="3"/>
  <c r="H429" i="3"/>
  <c r="H417" i="3"/>
  <c r="H414" i="3"/>
  <c r="H482" i="3"/>
  <c r="H485" i="3"/>
  <c r="H494" i="3"/>
  <c r="H493" i="3"/>
  <c r="H492" i="3"/>
  <c r="H491" i="3"/>
  <c r="H490" i="3"/>
  <c r="H489" i="3"/>
  <c r="H488" i="3"/>
  <c r="H497" i="3"/>
  <c r="H501" i="3"/>
  <c r="Q52" i="7"/>
  <c r="Q76" i="7"/>
  <c r="H448" i="3"/>
  <c r="H449" i="3"/>
  <c r="H450" i="3"/>
  <c r="H456" i="3"/>
  <c r="H457" i="3"/>
  <c r="H458" i="3"/>
  <c r="H477" i="3"/>
  <c r="H455" i="3"/>
  <c r="H481" i="3"/>
  <c r="H556" i="3"/>
  <c r="Q102" i="7"/>
  <c r="Q82" i="7"/>
  <c r="Q25" i="7"/>
  <c r="H475" i="3"/>
  <c r="H427" i="3"/>
  <c r="H440" i="3"/>
  <c r="H439" i="3"/>
  <c r="H438" i="3"/>
  <c r="H437" i="3"/>
  <c r="H436" i="3"/>
  <c r="H435" i="3"/>
  <c r="H424" i="3"/>
  <c r="H425" i="3"/>
  <c r="H428" i="3"/>
  <c r="H432" i="3"/>
  <c r="H441" i="3"/>
  <c r="H451" i="3"/>
  <c r="H459" i="3"/>
  <c r="G460" i="3"/>
  <c r="H460" i="3" s="1"/>
  <c r="Q13" i="7"/>
  <c r="Q22" i="7"/>
  <c r="Q66" i="7"/>
  <c r="H28" i="16"/>
  <c r="I30" i="16"/>
  <c r="H421" i="3"/>
  <c r="H434" i="3"/>
  <c r="H453" i="3"/>
  <c r="H454" i="3"/>
  <c r="H461" i="3"/>
  <c r="H474" i="3"/>
  <c r="Q67" i="7"/>
  <c r="Q36" i="7"/>
  <c r="Q89" i="7"/>
  <c r="Q74" i="7"/>
  <c r="G416" i="3"/>
  <c r="H416" i="3" s="1"/>
  <c r="H415" i="3"/>
  <c r="H418" i="3"/>
  <c r="H557" i="3"/>
  <c r="G407" i="3"/>
  <c r="H407" i="3" s="1"/>
  <c r="H420" i="3"/>
  <c r="H419" i="3"/>
  <c r="H413" i="3"/>
  <c r="H412" i="3"/>
  <c r="H411" i="3"/>
  <c r="Q75" i="7"/>
  <c r="Q55" i="7"/>
  <c r="Q106" i="7"/>
  <c r="Q32" i="7"/>
  <c r="Q58" i="7"/>
  <c r="H388" i="3"/>
  <c r="H390" i="3"/>
  <c r="H391" i="3"/>
  <c r="H393" i="3"/>
  <c r="H392" i="3"/>
  <c r="H394" i="3"/>
  <c r="H395" i="3"/>
  <c r="H397" i="3"/>
  <c r="H398" i="3"/>
  <c r="H399" i="3"/>
  <c r="H400" i="3"/>
  <c r="H401" i="3"/>
  <c r="Q109" i="7"/>
  <c r="H403" i="3"/>
  <c r="H404" i="3"/>
  <c r="H405" i="3"/>
  <c r="H406" i="3"/>
  <c r="H408" i="3"/>
  <c r="H402" i="3"/>
  <c r="H382" i="3"/>
  <c r="H396" i="3"/>
  <c r="H387" i="3"/>
  <c r="H373" i="3"/>
  <c r="H386" i="3"/>
  <c r="H385" i="3"/>
  <c r="H384" i="3"/>
  <c r="H383" i="3"/>
  <c r="H381" i="3"/>
  <c r="H378" i="3"/>
  <c r="Q10" i="7"/>
  <c r="Q33" i="7"/>
  <c r="Q14" i="7"/>
  <c r="Q85" i="7"/>
  <c r="Q73" i="7"/>
  <c r="Q70" i="7"/>
  <c r="Q56" i="7"/>
  <c r="Q95" i="7"/>
  <c r="Q96" i="7"/>
  <c r="Q71" i="7"/>
  <c r="H380" i="3"/>
  <c r="H379" i="3"/>
  <c r="H377" i="3"/>
  <c r="H375" i="3"/>
  <c r="H374" i="3"/>
  <c r="H354" i="3"/>
  <c r="H368" i="3"/>
  <c r="H369" i="3"/>
  <c r="H370" i="3"/>
  <c r="H371" i="3"/>
  <c r="H372" i="3"/>
  <c r="H376" i="3"/>
  <c r="G2" i="2"/>
  <c r="G3" i="2"/>
  <c r="G4" i="2"/>
  <c r="G5" i="2"/>
  <c r="G68" i="2" s="1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36" i="2"/>
  <c r="G37" i="2"/>
  <c r="G47" i="2"/>
  <c r="H346" i="3"/>
  <c r="H350" i="3"/>
  <c r="H351" i="3"/>
  <c r="H352" i="3"/>
  <c r="H353" i="3"/>
  <c r="H355" i="3"/>
  <c r="H356" i="3"/>
  <c r="H357" i="3"/>
  <c r="H358" i="3"/>
  <c r="H359" i="3"/>
  <c r="H360" i="3"/>
  <c r="H361" i="3"/>
  <c r="H362" i="3"/>
  <c r="G344" i="3"/>
  <c r="H344" i="3" s="1"/>
  <c r="H307" i="3"/>
  <c r="H308" i="3"/>
  <c r="H311" i="3"/>
  <c r="H312" i="3"/>
  <c r="H261" i="3"/>
  <c r="H262" i="3"/>
  <c r="H247" i="3"/>
  <c r="H248" i="3"/>
  <c r="H49" i="3"/>
  <c r="H50" i="3"/>
  <c r="H78" i="3"/>
  <c r="H79" i="3"/>
  <c r="H340" i="3"/>
  <c r="H338" i="3"/>
  <c r="H337" i="3"/>
  <c r="H336" i="3"/>
  <c r="H341" i="3"/>
  <c r="H339" i="3"/>
  <c r="H332" i="3"/>
  <c r="H329" i="3"/>
  <c r="G330" i="3"/>
  <c r="H330" i="3" s="1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G80" i="3"/>
  <c r="H80" i="3" s="1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G97" i="3"/>
  <c r="H97" i="3" s="1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G117" i="3"/>
  <c r="H117" i="3" s="1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G291" i="3"/>
  <c r="H291" i="3" s="1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9" i="3"/>
  <c r="H310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33" i="3"/>
  <c r="H331" i="3"/>
  <c r="H334" i="3"/>
  <c r="H335" i="3"/>
  <c r="H342" i="3"/>
  <c r="H343" i="3"/>
  <c r="H345" i="3"/>
  <c r="H347" i="3"/>
  <c r="H348" i="3"/>
  <c r="H349" i="3"/>
  <c r="H363" i="3"/>
  <c r="H364" i="3"/>
  <c r="H365" i="3"/>
  <c r="H366" i="3"/>
  <c r="H367" i="3"/>
  <c r="U22" i="4"/>
  <c r="R22" i="4"/>
  <c r="K16" i="11"/>
  <c r="G8" i="11"/>
  <c r="G9" i="11"/>
  <c r="G10" i="11"/>
  <c r="G11" i="11"/>
  <c r="G12" i="11"/>
  <c r="G3" i="11"/>
  <c r="G4" i="11"/>
  <c r="G13" i="11"/>
  <c r="G5" i="11"/>
  <c r="G6" i="11"/>
  <c r="G7" i="11"/>
  <c r="G2" i="11"/>
  <c r="Q65" i="7"/>
  <c r="Q49" i="7"/>
  <c r="Q86" i="7"/>
  <c r="Q11" i="7"/>
  <c r="Q90" i="7"/>
  <c r="Q50" i="7"/>
  <c r="Q7" i="7"/>
  <c r="Q80" i="7"/>
  <c r="Q72" i="7"/>
  <c r="Q59" i="7"/>
  <c r="Q43" i="7"/>
  <c r="Q60" i="7"/>
  <c r="Q6" i="7"/>
  <c r="Q39" i="7"/>
  <c r="Q40" i="7"/>
  <c r="Q48" i="7"/>
  <c r="Q19" i="7"/>
  <c r="Q57" i="7"/>
  <c r="Q53" i="7"/>
  <c r="Q26" i="7"/>
  <c r="Q68" i="7"/>
  <c r="Q27" i="7"/>
  <c r="Q69" i="7"/>
  <c r="Q41" i="7"/>
  <c r="Q78" i="7"/>
  <c r="Q3" i="7"/>
  <c r="Q16" i="7"/>
  <c r="Q64" i="7"/>
  <c r="Q98" i="7"/>
  <c r="Q79" i="7"/>
  <c r="Q108" i="7"/>
  <c r="Q9" i="7"/>
  <c r="Q91" i="7"/>
  <c r="G147" i="3"/>
  <c r="H16" i="3"/>
  <c r="H17" i="3"/>
  <c r="H18" i="3"/>
  <c r="H19" i="3"/>
  <c r="H15" i="3"/>
  <c r="H3" i="3"/>
  <c r="H6" i="3"/>
  <c r="H5" i="3"/>
  <c r="H2" i="3"/>
  <c r="H14" i="3"/>
  <c r="H13" i="3"/>
  <c r="H12" i="3"/>
  <c r="H11" i="3"/>
  <c r="H8" i="3"/>
  <c r="H4" i="3"/>
  <c r="H9" i="3"/>
  <c r="H10" i="3"/>
  <c r="H7" i="3"/>
  <c r="G25" i="16"/>
  <c r="F23" i="16"/>
  <c r="F27" i="16"/>
  <c r="G24" i="16"/>
  <c r="F29" i="16"/>
  <c r="F28" i="16"/>
  <c r="G27" i="16"/>
  <c r="G29" i="16"/>
  <c r="F25" i="16"/>
  <c r="F26" i="16"/>
  <c r="G23" i="16"/>
  <c r="F24" i="16"/>
  <c r="G26" i="16"/>
  <c r="G28" i="16"/>
  <c r="E3" i="4"/>
  <c r="E5" i="4"/>
  <c r="G7" i="4"/>
  <c r="E4" i="4"/>
  <c r="H30" i="16" l="1"/>
  <c r="AV85" i="7"/>
  <c r="AV36" i="7"/>
  <c r="AV14" i="7"/>
  <c r="AV67" i="7"/>
  <c r="AI114" i="7"/>
  <c r="AV35" i="7"/>
  <c r="AV32" i="7"/>
  <c r="AV55" i="7"/>
  <c r="AV4" i="7"/>
  <c r="AV46" i="7"/>
  <c r="E7" i="4"/>
  <c r="H737" i="3"/>
  <c r="AH114" i="7"/>
  <c r="AL114" i="7"/>
  <c r="J26" i="16"/>
  <c r="J27" i="16"/>
  <c r="G30" i="16"/>
  <c r="J23" i="16"/>
  <c r="F30" i="16"/>
  <c r="J25" i="16"/>
  <c r="J28" i="16"/>
  <c r="J29" i="16"/>
  <c r="J24" i="16"/>
  <c r="AO114" i="7"/>
  <c r="AJ114" i="7"/>
  <c r="AM114" i="7"/>
  <c r="AG114" i="7"/>
  <c r="F5" i="4"/>
  <c r="F4" i="4"/>
  <c r="F3" i="4"/>
  <c r="J30" i="16" l="1"/>
  <c r="AV114" i="7"/>
  <c r="G5" i="4"/>
  <c r="G4" i="4"/>
  <c r="G3" i="4"/>
  <c r="AJ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tc={46883324-16F5-4A86-A773-73A84339C290}</author>
  </authors>
  <commentList>
    <comment ref="B218" authorId="0" shapeId="0" xr:uid="{46883324-16F5-4A86-A773-73A84339C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sharedStrings.xml><?xml version="1.0" encoding="utf-8"?>
<sst xmlns="http://schemas.openxmlformats.org/spreadsheetml/2006/main" count="3664" uniqueCount="789">
  <si>
    <t>Fecha</t>
  </si>
  <si>
    <t>Proyecto</t>
  </si>
  <si>
    <t>Tipo de pago</t>
  </si>
  <si>
    <t>Tipo de cambio</t>
  </si>
  <si>
    <t>Divisa</t>
  </si>
  <si>
    <t>Precio unitario</t>
  </si>
  <si>
    <t>Precio (MXN)</t>
  </si>
  <si>
    <t>CTIM-3 Huella Estructural</t>
  </si>
  <si>
    <t>Transferencia</t>
  </si>
  <si>
    <t>USD</t>
  </si>
  <si>
    <t>Total</t>
  </si>
  <si>
    <t>Concepto</t>
  </si>
  <si>
    <t>Socio</t>
  </si>
  <si>
    <t>Forma de Pago</t>
  </si>
  <si>
    <t>Cantidad</t>
  </si>
  <si>
    <t>Precio x unidad</t>
  </si>
  <si>
    <t>Certificado SSL symbiot-technologies.com</t>
  </si>
  <si>
    <t>Marco Delgado</t>
  </si>
  <si>
    <t>TDC</t>
  </si>
  <si>
    <t>Servicio Hosting y Dominio symbiot-technologies.com</t>
  </si>
  <si>
    <t>Servicio Hosting y Dominio Symbiot.com.mx</t>
  </si>
  <si>
    <t>SSL Emprendedor (25/02/2024 - 24/02/2025) *	$448.00</t>
  </si>
  <si>
    <t>Renovar Dominio - symbiot-technologies.com - 1 Año(s) (26/04/2024 - 25/04/2025) *</t>
  </si>
  <si>
    <t>Plan Emprendedor (Plesk) - symbiot.com.mx (27/04/2024 - 26/04/2025) *</t>
  </si>
  <si>
    <t>Renovar Dominio - symbiot.com.mx - 1 Año(s) (28/04/2024 - 27/04/2025) *</t>
  </si>
  <si>
    <t>Módulo lector de Micro SD</t>
  </si>
  <si>
    <t>Modulo Carga Tipo C Batería De Litio Tp4056 18650 10 Piezas</t>
  </si>
  <si>
    <t>Modulo Bluetooth Hc-06 Para Arduino Pic Raspberry</t>
  </si>
  <si>
    <t>Modulo Red Ethernet Enc28j60 Versión Mini Lan</t>
  </si>
  <si>
    <t>Placa De Comunicación Cp2102 Usb Uart (tipo C), Usb A Uart</t>
  </si>
  <si>
    <t>Módulo de sensor de aceleración NRF51822 LIS3DH placa</t>
  </si>
  <si>
    <t>Módulo acelerómetro NRF51822 LIS3DH</t>
  </si>
  <si>
    <t>Fielect Caja de cable impemeable de plástico IP65 120x80x65</t>
  </si>
  <si>
    <t>Tester Acelerómetro ADXL355B</t>
  </si>
  <si>
    <t>DHL Express Import Taxes</t>
  </si>
  <si>
    <t>Baterías recargables, módulos porta Baterías, módulos de carga</t>
  </si>
  <si>
    <t>Sum of Total</t>
  </si>
  <si>
    <t>Hugo Vázquez</t>
  </si>
  <si>
    <t>Julio Olvera</t>
  </si>
  <si>
    <t>Manuel Reyes</t>
  </si>
  <si>
    <t>Irwin</t>
  </si>
  <si>
    <t>Luis Blanquet</t>
  </si>
  <si>
    <t>Nahomy Perez</t>
  </si>
  <si>
    <t>Demian Andrade</t>
  </si>
  <si>
    <t>Activo</t>
  </si>
  <si>
    <t>Guitarra</t>
  </si>
  <si>
    <t>Batería</t>
  </si>
  <si>
    <t>Teclado</t>
  </si>
  <si>
    <t>Canto</t>
  </si>
  <si>
    <t>Bajo</t>
  </si>
  <si>
    <t>Baja</t>
  </si>
  <si>
    <t>Estatus</t>
  </si>
  <si>
    <t>Count of Alumno</t>
  </si>
  <si>
    <t>G</t>
  </si>
  <si>
    <t>I</t>
  </si>
  <si>
    <t>Clases muestra</t>
  </si>
  <si>
    <t>Pago por G</t>
  </si>
  <si>
    <t>Pago por Ind</t>
  </si>
  <si>
    <t>Día</t>
  </si>
  <si>
    <t>Num Alumno</t>
  </si>
  <si>
    <t>Alumno</t>
  </si>
  <si>
    <t>Edad</t>
  </si>
  <si>
    <t>Maestro</t>
  </si>
  <si>
    <t>Fecha de inscripción</t>
  </si>
  <si>
    <t>Fecha de pago</t>
  </si>
  <si>
    <t>Promocion</t>
  </si>
  <si>
    <t>Clase</t>
  </si>
  <si>
    <t>Tipo</t>
  </si>
  <si>
    <t>Horario</t>
  </si>
  <si>
    <t>Domicilado</t>
  </si>
  <si>
    <t>Domicilado2</t>
  </si>
  <si>
    <t>Tipo de Clase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</si>
  <si>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</si>
  <si>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</si>
  <si>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</si>
  <si>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</si>
  <si>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</si>
  <si>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</si>
  <si>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</si>
  <si>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</si>
  <si>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</si>
  <si>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</si>
  <si>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</si>
  <si>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</si>
  <si>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Julio2</t>
  </si>
  <si>
    <t>Agosto2</t>
  </si>
  <si>
    <t>Septiembre2</t>
  </si>
  <si>
    <t>Octubre2</t>
  </si>
  <si>
    <t>Noviembre2</t>
  </si>
  <si>
    <t>Diciembre3</t>
  </si>
  <si>
    <t>Enero2</t>
  </si>
  <si>
    <t>Febrero2</t>
  </si>
  <si>
    <t>Marzo2</t>
  </si>
  <si>
    <t>Gwyneth Adriana Tagliabue Cruz</t>
  </si>
  <si>
    <t>Inscripción $0.00</t>
  </si>
  <si>
    <t>TPV</t>
  </si>
  <si>
    <t>Alejandro Navarro Baltazar</t>
  </si>
  <si>
    <t>17:00 a 18:00 Mi</t>
  </si>
  <si>
    <t>Efectivo</t>
  </si>
  <si>
    <t>Manuel Zacate Millan</t>
  </si>
  <si>
    <t>Luis Erik Arias Ayala</t>
  </si>
  <si>
    <t>Jose Fernando Campos Esparza</t>
  </si>
  <si>
    <t>Fanny Ieraldini Guitierrez Jasso</t>
  </si>
  <si>
    <t>Jose Francisco Rangel Alonso</t>
  </si>
  <si>
    <t>Alan Mateo Gomez Juarez</t>
  </si>
  <si>
    <t>Enrique Alexander Roldan Lopez</t>
  </si>
  <si>
    <t>Si</t>
  </si>
  <si>
    <t>19:00 a 20:00 Ma</t>
  </si>
  <si>
    <t>Guadalupe Donaji Arellano Ramirez</t>
  </si>
  <si>
    <t>Veronica Ramirez</t>
  </si>
  <si>
    <t>Brenda Serrano Cervantes</t>
  </si>
  <si>
    <t>Joaquin Pimentel</t>
  </si>
  <si>
    <t>Isabel Ramos</t>
  </si>
  <si>
    <t>20:00 a 21:00 Ma</t>
  </si>
  <si>
    <t>Leonardo Landa Sanchez</t>
  </si>
  <si>
    <t>Orlando Landa</t>
  </si>
  <si>
    <t>Martha Patricia Juarez</t>
  </si>
  <si>
    <t>Mateo Ludwig</t>
  </si>
  <si>
    <t>No</t>
  </si>
  <si>
    <t>Alondra Cecilia Morales Alvarez</t>
  </si>
  <si>
    <t>Alejandro Morales</t>
  </si>
  <si>
    <t>Oscar Castilla</t>
  </si>
  <si>
    <t>Daniel Alexander Hernandez Arce</t>
  </si>
  <si>
    <t>Luciano Ariel Hernandez Arce</t>
  </si>
  <si>
    <t>15:00 a 16:00 Ma</t>
  </si>
  <si>
    <t>Erik Alcantara Trejo</t>
  </si>
  <si>
    <t>Erik Alcantara</t>
  </si>
  <si>
    <t>Luzbel Rueda Muñoz</t>
  </si>
  <si>
    <t>Jose Noel Rueda</t>
  </si>
  <si>
    <t>Aidan Crosby Lobo</t>
  </si>
  <si>
    <t>Blanca Donaji Lobo</t>
  </si>
  <si>
    <t>Axel Adrian Hernandez Martinez</t>
  </si>
  <si>
    <t>Armando Hernandez</t>
  </si>
  <si>
    <t>Leonardo Arturo Gomez Lopez</t>
  </si>
  <si>
    <t>Miriam Lopez</t>
  </si>
  <si>
    <t>Rui Ortiz</t>
  </si>
  <si>
    <t>Manuel Ortiz</t>
  </si>
  <si>
    <t>Erika Gallegos</t>
  </si>
  <si>
    <t>Yoanna Barrios</t>
  </si>
  <si>
    <t>Rebeca Ramirez</t>
  </si>
  <si>
    <t>Luis Alberto Guizar Garcia</t>
  </si>
  <si>
    <t>Alejandro Quijano</t>
  </si>
  <si>
    <t>Oscar Godinez</t>
  </si>
  <si>
    <t>Alexis Cordova</t>
  </si>
  <si>
    <t>Edgar Javier Chavez Reyes</t>
  </si>
  <si>
    <t>Edgar Chavez</t>
  </si>
  <si>
    <t>Ares Maximiliano Gonzalez</t>
  </si>
  <si>
    <t>Mymasociados</t>
  </si>
  <si>
    <t>Mateo Gonzalez</t>
  </si>
  <si>
    <t>Luis Fernando Ferruzca Perez</t>
  </si>
  <si>
    <t>Noe Mejia</t>
  </si>
  <si>
    <t>Luciano Gastelum Crosby</t>
  </si>
  <si>
    <t>Anaid Crosby</t>
  </si>
  <si>
    <t>Victor Eduardo Caballero Nieto</t>
  </si>
  <si>
    <t>Dulce Yael Tarrios</t>
  </si>
  <si>
    <t>Jorge Armando Hernandez</t>
  </si>
  <si>
    <t>Ivan Eidan Espinosa</t>
  </si>
  <si>
    <t>16:00 a 17:00 Mi</t>
  </si>
  <si>
    <t>14:00 a 15:00 Sa</t>
  </si>
  <si>
    <t>Nicolas Gutierrez Rebollo</t>
  </si>
  <si>
    <t>Judith Rebollo</t>
  </si>
  <si>
    <t>Luis Mario Oropeza</t>
  </si>
  <si>
    <t>Lourdes Vaca</t>
  </si>
  <si>
    <t>Carlos Bennet</t>
  </si>
  <si>
    <t>Jose Angel Perez</t>
  </si>
  <si>
    <t>Domino y Cuentas Rockstarskull</t>
  </si>
  <si>
    <t>Antonio Razo</t>
  </si>
  <si>
    <t>Logo</t>
  </si>
  <si>
    <t>Videos de Frank Abril</t>
  </si>
  <si>
    <t>Servicios de Tramite</t>
  </si>
  <si>
    <t>Renta 1 de 12 Local, pago por adelantado</t>
  </si>
  <si>
    <t>Depósito de arrendamiento</t>
  </si>
  <si>
    <t>Cinta metrica 5m</t>
  </si>
  <si>
    <t>Cámara IP PTZ Exterior v380Pro</t>
  </si>
  <si>
    <t>Cámara IP PTZ Interior v380Pro</t>
  </si>
  <si>
    <t>Cámara IP Visión Nocturna Interior v380Pro</t>
  </si>
  <si>
    <t>Memoria MicroSD 64Gb</t>
  </si>
  <si>
    <t>Cargador 5V 2A</t>
  </si>
  <si>
    <t>Hugo Vazquez</t>
  </si>
  <si>
    <t>Ampli Blackstar ID CORE 100</t>
  </si>
  <si>
    <t>Jackson Monarkh</t>
  </si>
  <si>
    <t>Foot switch</t>
  </si>
  <si>
    <t>Baterías Alesis Nitro Mesh Kit</t>
  </si>
  <si>
    <t>Ventilador de torre 34"</t>
  </si>
  <si>
    <t>Extintor ABC 6Kg</t>
  </si>
  <si>
    <t>Tiras LED luz neon flex manguera con fuente 25m</t>
  </si>
  <si>
    <t>Interruptor Sonoff</t>
  </si>
  <si>
    <t>Kit de señalización protección civil 10 piezas</t>
  </si>
  <si>
    <t>Videos de Frank bloque 3 de 4</t>
  </si>
  <si>
    <t>Silla eames negra</t>
  </si>
  <si>
    <t>Aislante acustico 1.22 x 2.44 Foamular 250</t>
  </si>
  <si>
    <t>Taquetes de madera</t>
  </si>
  <si>
    <t>Canes de madera</t>
  </si>
  <si>
    <t>Puerta tambor</t>
  </si>
  <si>
    <t>Canal de amarre</t>
  </si>
  <si>
    <t>Poste metálico</t>
  </si>
  <si>
    <t>Marco de madera puerta c bisagra</t>
  </si>
  <si>
    <t>Parte 1 de 2 Mano de obra y panel OSB 12mm</t>
  </si>
  <si>
    <t>Fuente regulada 12V 5A</t>
  </si>
  <si>
    <t>Mini amplificador de Audio 600W</t>
  </si>
  <si>
    <t>Parte 2 de 2 Mano de obra y panel OSB 12mm</t>
  </si>
  <si>
    <t>Compra de componentes eléctricos (Home Depot)</t>
  </si>
  <si>
    <t>Compra de paneles acusticos Pi Acustica</t>
  </si>
  <si>
    <t>Empastado con redimix y pintado de muros</t>
  </si>
  <si>
    <t>Botiquin de Primeros Auxilios</t>
  </si>
  <si>
    <t>Botes de basura</t>
  </si>
  <si>
    <t>Aspiradora</t>
  </si>
  <si>
    <t>Renta 2 de 12 Local</t>
  </si>
  <si>
    <t>Videos de Frank 4/4 Mayo y 3/4 Junio</t>
  </si>
  <si>
    <t>Smart TV Led 32" Amaz</t>
  </si>
  <si>
    <t>Transferencia Boker a Marco cargo</t>
  </si>
  <si>
    <t>Transferencia Boker a Marco abono</t>
  </si>
  <si>
    <t>Recogedor</t>
  </si>
  <si>
    <t>Toalla manos</t>
  </si>
  <si>
    <t>Trapo</t>
  </si>
  <si>
    <t>Microfibra</t>
  </si>
  <si>
    <t>Fibra 3 x 14</t>
  </si>
  <si>
    <t>Pinol</t>
  </si>
  <si>
    <t>Jabon de manos Equate</t>
  </si>
  <si>
    <t>Cepillo para baño</t>
  </si>
  <si>
    <t>Cloralex</t>
  </si>
  <si>
    <t>Mini rodillo</t>
  </si>
  <si>
    <t>Glade desinfectante</t>
  </si>
  <si>
    <t>Guantes de hule 2 x 25</t>
  </si>
  <si>
    <t>Brocha</t>
  </si>
  <si>
    <t>Bomba para taza de baño</t>
  </si>
  <si>
    <t>Jerga</t>
  </si>
  <si>
    <t>Cepillo para retrete con base</t>
  </si>
  <si>
    <t>Papel de baño 4 rollos</t>
  </si>
  <si>
    <t>Jalador</t>
  </si>
  <si>
    <t>Anuncio luminoso Neon flex rojo</t>
  </si>
  <si>
    <t>Caja de luz 2.10 x 1.20 logo translúcido (fabr + inst)</t>
  </si>
  <si>
    <t>Pago de mantenimiento Julio</t>
  </si>
  <si>
    <t>Pizarrón blanco 80x120 cm</t>
  </si>
  <si>
    <t>Monitor 19" Stylos</t>
  </si>
  <si>
    <t>Mouse y teclado inalambrico Logitech</t>
  </si>
  <si>
    <t>Mini Pc Intel N5105 De 11.ª Generación, 16 Gb, 512 Gb</t>
  </si>
  <si>
    <t>Alfombra Astra Color gris 37m2</t>
  </si>
  <si>
    <t>Cafetera Oster</t>
  </si>
  <si>
    <t>50% de adelanto a contrato mensual de CM</t>
  </si>
  <si>
    <t>Registro de marca en el IMPI</t>
  </si>
  <si>
    <t>Pago recibo CFE Local</t>
  </si>
  <si>
    <t>Anuncio exterior luminoso</t>
  </si>
  <si>
    <t>Invitación Grand Opening</t>
  </si>
  <si>
    <t>Materiales: Pintura y Pegamento</t>
  </si>
  <si>
    <t>Candado</t>
  </si>
  <si>
    <t>Regleta Cargador Multicontactos 8 salidas 3 USB 1 C</t>
  </si>
  <si>
    <t>Soporte para cámara IP Universal Base</t>
  </si>
  <si>
    <t>Cámara IP Adicional (Salón Batería)</t>
  </si>
  <si>
    <t>Meta Ads</t>
  </si>
  <si>
    <t>TikTok Ads</t>
  </si>
  <si>
    <t>Meta Ads (extra)</t>
  </si>
  <si>
    <t>Amplificador de Bajo Meteoro 250 W</t>
  </si>
  <si>
    <t>Amplificador Orange 20W</t>
  </si>
  <si>
    <t>Lector tarjetas Point Smart TPV Mercado Pago</t>
  </si>
  <si>
    <t>16 Cuadros canva b/n - Decoración</t>
  </si>
  <si>
    <t>Audifonos</t>
  </si>
  <si>
    <t>Cables Plug a Plug</t>
  </si>
  <si>
    <t>Extensiones de audifonos</t>
  </si>
  <si>
    <t>Instalación y contratación Total Play 75 Megas</t>
  </si>
  <si>
    <t>Renta 3 de 12 Local</t>
  </si>
  <si>
    <t>Diseño gráfico para impresiones</t>
  </si>
  <si>
    <t>Pago 2 Jul CM</t>
  </si>
  <si>
    <t>Videos de Frank bloque Julio</t>
  </si>
  <si>
    <t>Estante Plastico 4 repisas Pretul</t>
  </si>
  <si>
    <t>Bajo JS Series Concert Bass</t>
  </si>
  <si>
    <t>Soporte Guitarra Onstage</t>
  </si>
  <si>
    <t>Banco Batería Power Beat</t>
  </si>
  <si>
    <t>Redistribución de cableado y habilitación de iluminación</t>
  </si>
  <si>
    <t>Limpieza 29-jul</t>
  </si>
  <si>
    <t>Banco Batería genérico</t>
  </si>
  <si>
    <t>Pago de impresiones</t>
  </si>
  <si>
    <t>Resanado de pared y caja para el tablero eléctrico</t>
  </si>
  <si>
    <t>Depósito Google Ads</t>
  </si>
  <si>
    <t>Mesa auxiliar</t>
  </si>
  <si>
    <t>Mesa para computadora</t>
  </si>
  <si>
    <t>Letreros decorativos Zona de Musica</t>
  </si>
  <si>
    <t>Limpieza 05-Ago</t>
  </si>
  <si>
    <t>Escuela</t>
  </si>
  <si>
    <t>Pago 1 Ago CM</t>
  </si>
  <si>
    <t>Limpieza 12-Ago</t>
  </si>
  <si>
    <t>Pago Frank - Quincena</t>
  </si>
  <si>
    <t>Base de amplificador</t>
  </si>
  <si>
    <t>Bancopie</t>
  </si>
  <si>
    <t>Base de teclado</t>
  </si>
  <si>
    <t>Total Play</t>
  </si>
  <si>
    <t>Letrero 911 - Emergencias</t>
  </si>
  <si>
    <t>Limpieza 19-Ago</t>
  </si>
  <si>
    <t>Renta 4 de 12 Local</t>
  </si>
  <si>
    <t>Meta Ads - Agosto</t>
  </si>
  <si>
    <t>Mantenimiento Agosto</t>
  </si>
  <si>
    <t>Mantenimiento Septiembre</t>
  </si>
  <si>
    <t>Depósito Google Ads - Agosto</t>
  </si>
  <si>
    <t>Dos carpetas</t>
  </si>
  <si>
    <t>Pago 2 Ago CM</t>
  </si>
  <si>
    <t>Copias de formatos de inscripción, reglamento y pautadas</t>
  </si>
  <si>
    <t>Limpieza 26-Ago</t>
  </si>
  <si>
    <t>Poster y diurex</t>
  </si>
  <si>
    <t>Mezcladora 4 CH</t>
  </si>
  <si>
    <t>Pago clases de Guitarra</t>
  </si>
  <si>
    <t>Comisiones TPV</t>
  </si>
  <si>
    <t>Limpieza 02-Sep</t>
  </si>
  <si>
    <t>Engrapadora y grapas</t>
  </si>
  <si>
    <t>Cloralex y Roma</t>
  </si>
  <si>
    <t>Limpieza 09-Sep</t>
  </si>
  <si>
    <t>Renta 5 de 12 Local</t>
  </si>
  <si>
    <t>Limpieza 24-Sep</t>
  </si>
  <si>
    <t>Pago 1 y 2 Sep CM</t>
  </si>
  <si>
    <t>Limpieza 30-Sep</t>
  </si>
  <si>
    <t>Pago clases de Teclado</t>
  </si>
  <si>
    <t>Pago clases de muestra teclado</t>
  </si>
  <si>
    <t>Pago clases de Batería</t>
  </si>
  <si>
    <t>Pago clases de muestra Batería</t>
  </si>
  <si>
    <t>Pilas AAA</t>
  </si>
  <si>
    <t>Teléfono fijo</t>
  </si>
  <si>
    <t>Mantenimiento Octubre</t>
  </si>
  <si>
    <t>Limpieza 7-Oct</t>
  </si>
  <si>
    <t>Limpieza 14-Oct</t>
  </si>
  <si>
    <t>Renta Octubre</t>
  </si>
  <si>
    <t>Limpieza 21-Oct</t>
  </si>
  <si>
    <t>Limpieza 28-Oct</t>
  </si>
  <si>
    <t>Pegamento</t>
  </si>
  <si>
    <t>Adornos Halloween</t>
  </si>
  <si>
    <t>Pago CFE</t>
  </si>
  <si>
    <t>Pago 1 de 2 mes de Octubre - Jorge MKT</t>
  </si>
  <si>
    <t>Mercado Pago</t>
  </si>
  <si>
    <t>Clases de Bajo Luis Blanquet</t>
  </si>
  <si>
    <t>Clases de prueba canto Lizett Espinoza</t>
  </si>
  <si>
    <t>Clases de prueba Bajo Luis Blanquet</t>
  </si>
  <si>
    <t>Clases de piano Agueda Pecina</t>
  </si>
  <si>
    <t>Clases de Batería Julio Olvera</t>
  </si>
  <si>
    <t>Clases de Guitarra Hugo Vazquez</t>
  </si>
  <si>
    <t>Clases de Guitarra Individual Hugo Vazquez</t>
  </si>
  <si>
    <t>Limpieza 04-Nov</t>
  </si>
  <si>
    <t>Mantenimiento Noviembre y Diciembre</t>
  </si>
  <si>
    <t>Limpieza 11-Nov</t>
  </si>
  <si>
    <t>Pago 1 mes de Noviembre Jorge</t>
  </si>
  <si>
    <t>Limpieza 18-Nov</t>
  </si>
  <si>
    <t>Renta Noviembre</t>
  </si>
  <si>
    <t>Limpieza 25-Nov</t>
  </si>
  <si>
    <t>Pago 2 mes de Noviembre Jorge</t>
  </si>
  <si>
    <t>Google Ads</t>
  </si>
  <si>
    <t>Facebook</t>
  </si>
  <si>
    <t>Limpieza 02-Dic</t>
  </si>
  <si>
    <t>Limpieza 09-Dic</t>
  </si>
  <si>
    <t>Servicio AI para Anuncios</t>
  </si>
  <si>
    <t>Pago Frank - Aguinaldo</t>
  </si>
  <si>
    <t>Limpieza 16-Dic</t>
  </si>
  <si>
    <t>Renta Dic (1)</t>
  </si>
  <si>
    <t>Renta Dic (2)</t>
  </si>
  <si>
    <t>Renta Dic (3)</t>
  </si>
  <si>
    <t>Mantenimiento Enero</t>
  </si>
  <si>
    <t>Pago Diciembre Jorge</t>
  </si>
  <si>
    <t>Limpieza 06-Ene</t>
  </si>
  <si>
    <t>Limpieza 14-Ene</t>
  </si>
  <si>
    <t>Limpieza 20-Ene</t>
  </si>
  <si>
    <t>Renta Ene (1)</t>
  </si>
  <si>
    <t>Renta Ene (2)</t>
  </si>
  <si>
    <t>Renta Ene (3)</t>
  </si>
  <si>
    <t>Limpieza 27-Ene</t>
  </si>
  <si>
    <t>Clases de Teclado Manuel Reyes</t>
  </si>
  <si>
    <t>Mantenimiento Febrero</t>
  </si>
  <si>
    <t>Transferencia Marco a Antonio (Cargo)</t>
  </si>
  <si>
    <t>Transferencia Marco a Antonio (Abono)</t>
  </si>
  <si>
    <t>Gel antibacterial</t>
  </si>
  <si>
    <t>Cables</t>
  </si>
  <si>
    <t>Limpieza 03-Feb</t>
  </si>
  <si>
    <t>Limpieza 10-Feb</t>
  </si>
  <si>
    <t>Limpieza 17-Feb</t>
  </si>
  <si>
    <t>Renta Febrero</t>
  </si>
  <si>
    <t>Limpieza 24-Feb</t>
  </si>
  <si>
    <t>Transferencia Escuela a Antonio Razo - Cargo</t>
  </si>
  <si>
    <t>Transferencia Escuela a Antonio Razo - Abono</t>
  </si>
  <si>
    <t>Mantenimiento Marzo</t>
  </si>
  <si>
    <t>Limpieza 01-Mar</t>
  </si>
  <si>
    <t>Cloro, jabón, papel de baño</t>
  </si>
  <si>
    <t>Limpieza 08-Mar</t>
  </si>
  <si>
    <t>Limpieza 15-Mar</t>
  </si>
  <si>
    <t>Limpieza 22-Mar</t>
  </si>
  <si>
    <t>Renta Marzo</t>
  </si>
  <si>
    <t>Limpieza 29-Mar</t>
  </si>
  <si>
    <t>Mantenimiento Abril</t>
  </si>
  <si>
    <t>Limpieza 08-Abr</t>
  </si>
  <si>
    <t>Limpieza 13-Abr</t>
  </si>
  <si>
    <t>Quincena Frank</t>
  </si>
  <si>
    <t>Videos Frank Rockstar Skull</t>
  </si>
  <si>
    <t>Renta parte 1 de 3</t>
  </si>
  <si>
    <t>Renta parte 2 de 3</t>
  </si>
  <si>
    <t>Renta parte 3 de 3</t>
  </si>
  <si>
    <t>Limpieza 20-Abr</t>
  </si>
  <si>
    <t>Limpieza 27-Abr</t>
  </si>
  <si>
    <t>Clases de Guitarra Electrica</t>
  </si>
  <si>
    <t>Hosting Suempresa.com</t>
  </si>
  <si>
    <t>Mantenimiento Mayo</t>
  </si>
  <si>
    <t>Limpieza 5-May</t>
  </si>
  <si>
    <t>Transferencia Escuela a Marco (cargo)</t>
  </si>
  <si>
    <t>Transferencia Escuela a Marco (abono)</t>
  </si>
  <si>
    <t>Limpieza 12-May</t>
  </si>
  <si>
    <t>Limpieza 18-May</t>
  </si>
  <si>
    <t>Limpieza 25-May</t>
  </si>
  <si>
    <t>Limpieza 1-Jun</t>
  </si>
  <si>
    <t>Limpieza - 9 Jun</t>
  </si>
  <si>
    <t>Playeras y Tazas Rockstar Skull</t>
  </si>
  <si>
    <t>Limpieza 16 Jun</t>
  </si>
  <si>
    <t>Renta Junio 1 de 3</t>
  </si>
  <si>
    <t>Renta Junio 2 de 3</t>
  </si>
  <si>
    <t>Renta Junio 3 de 3</t>
  </si>
  <si>
    <t>Limpieza 23 Jun</t>
  </si>
  <si>
    <t>Limpieza 30 Jun</t>
  </si>
  <si>
    <t>Clase de muestra Bajo</t>
  </si>
  <si>
    <t>Clase de muestra Canto</t>
  </si>
  <si>
    <t>Limpieza 06-Jul</t>
  </si>
  <si>
    <t>Mantenimiento Julio</t>
  </si>
  <si>
    <t>Limpieza 13-Jul</t>
  </si>
  <si>
    <t>Gastos Escuela (Aclarar Hugo)</t>
  </si>
  <si>
    <t>Limpieza 20-Jul</t>
  </si>
  <si>
    <t>Renta Julio 1 de 3</t>
  </si>
  <si>
    <t>Renta Julio 2 de 3</t>
  </si>
  <si>
    <t>Renta Julio 3 de 3</t>
  </si>
  <si>
    <t>Limpieza 27-Jul</t>
  </si>
  <si>
    <t>Clase de muestra Bajo Luis Blanquet</t>
  </si>
  <si>
    <t>Clases de Guitarra Irwin Hernandez</t>
  </si>
  <si>
    <t>Clases de Teclado Manuel Reyes (complemento)</t>
  </si>
  <si>
    <t>Limpieza 4-Ago</t>
  </si>
  <si>
    <t>Limpieza 12 Ago</t>
  </si>
  <si>
    <t>Limpieza 18 Ago</t>
  </si>
  <si>
    <t>Banner y lona Rockstar (Hugo)</t>
  </si>
  <si>
    <t>Renta Agosto</t>
  </si>
  <si>
    <t>Limpieza 24 Ago</t>
  </si>
  <si>
    <t>Limpieza 31 Ago</t>
  </si>
  <si>
    <t>Clases de Canto Annie Carrizales</t>
  </si>
  <si>
    <t>Mantenimiento</t>
  </si>
  <si>
    <t>Limpieza 07-Sep</t>
  </si>
  <si>
    <t>Limpieza 14-Sep</t>
  </si>
  <si>
    <t>Renta Local Septiembre</t>
  </si>
  <si>
    <t>Limpieza 21-Sep</t>
  </si>
  <si>
    <t>Clases de Canto Nahomy Perez</t>
  </si>
  <si>
    <t>Limpieza 28-Sep</t>
  </si>
  <si>
    <t>Limpieza 05-Oct</t>
  </si>
  <si>
    <t>Limpieza 12-Oct</t>
  </si>
  <si>
    <t>Limpieza 19-Oct</t>
  </si>
  <si>
    <t>Renta Local Octubre</t>
  </si>
  <si>
    <t>Limpieza 26-Oct</t>
  </si>
  <si>
    <t>Articulos de limpieza</t>
  </si>
  <si>
    <t>Clases de Batería Demian Andrade</t>
  </si>
  <si>
    <t>Limpieza 4 Nov</t>
  </si>
  <si>
    <t>Mantenimiento Nov</t>
  </si>
  <si>
    <t>Limpieza 12 Nov</t>
  </si>
  <si>
    <t>Limpieza 16 Nov</t>
  </si>
  <si>
    <t>Renta Local Noviembre</t>
  </si>
  <si>
    <t>Pago Nov - Irving</t>
  </si>
  <si>
    <t>Pago Nov - Manuel Reyes</t>
  </si>
  <si>
    <t>Pago Nov - Demian Andrade</t>
  </si>
  <si>
    <t>Pago Nov - Luis Blanquet</t>
  </si>
  <si>
    <t>Pago Nov - Arcelia Armijo</t>
  </si>
  <si>
    <t>Pago Nov - Hugo</t>
  </si>
  <si>
    <t>Limpieza 30 Nov</t>
  </si>
  <si>
    <t>Mantenimiento Dic</t>
  </si>
  <si>
    <t>Limpieza 9 Dic</t>
  </si>
  <si>
    <t>Frank Aguinaldo 2024</t>
  </si>
  <si>
    <t>Limpieza 16 Dic + Aguinaldo 2024</t>
  </si>
  <si>
    <t>Renta Local Diciembre</t>
  </si>
  <si>
    <t>Limpieza 23 Dic</t>
  </si>
  <si>
    <t>Limpieza 6 Enero</t>
  </si>
  <si>
    <t>Suma de Total</t>
  </si>
  <si>
    <t>Presupuesto por ejercer</t>
  </si>
  <si>
    <t>Total Inversión</t>
  </si>
  <si>
    <t>Porcentaje gastado</t>
  </si>
  <si>
    <t>Arath Martinez Gomez</t>
  </si>
  <si>
    <t>Martha Berenice Gomez</t>
  </si>
  <si>
    <t>Cristopher Rafael Huerta Robledo</t>
  </si>
  <si>
    <t>Mariana Diaz Garcia</t>
  </si>
  <si>
    <t>Sergio Hector Rivera Trejo</t>
  </si>
  <si>
    <t>Blanca Estela Trejo Cano</t>
  </si>
  <si>
    <t>Impresiones reconocimientos</t>
  </si>
  <si>
    <t>Plumon Permanente</t>
  </si>
  <si>
    <t>Reconocimiento</t>
  </si>
  <si>
    <t>Plumas y copia</t>
  </si>
  <si>
    <t>Papel de baño 1 rollo</t>
  </si>
  <si>
    <t>Formularios de inscripción y encuestas</t>
  </si>
  <si>
    <t>Cuerda Ernie Ball</t>
  </si>
  <si>
    <t>Guillotinado reconocimientos</t>
  </si>
  <si>
    <t>Limpieza 08-Feb</t>
  </si>
  <si>
    <t>Limpieza 01-Feb</t>
  </si>
  <si>
    <t>Limpieza 09-Nov</t>
  </si>
  <si>
    <t>Comida con Socios de Huella Estructural - La Buena Barra</t>
  </si>
  <si>
    <t>Comida con Socios de Huella Estructural - La Bikina</t>
  </si>
  <si>
    <t>Comida con Socios de Huella Estructural - Sonora Grill Prime</t>
  </si>
  <si>
    <t>Sueldo Maestros Rockstar Skull</t>
  </si>
  <si>
    <t>Symbiot</t>
  </si>
  <si>
    <t>Hector R Solis Q</t>
  </si>
  <si>
    <t>Sueldos</t>
  </si>
  <si>
    <t>Renta</t>
  </si>
  <si>
    <t>Limpieza 21-Ene</t>
  </si>
  <si>
    <t>Limpieza</t>
  </si>
  <si>
    <t>Simcom SIM7600G PCIe</t>
  </si>
  <si>
    <t>JLCPCB Manufacturing</t>
  </si>
  <si>
    <t>Poste de bafle metalico</t>
  </si>
  <si>
    <t>Alto professional TX2125 SW Activo 12" 900W con DSP</t>
  </si>
  <si>
    <t>Behrninger B210D Bafle Activo</t>
  </si>
  <si>
    <t>Pedalera</t>
  </si>
  <si>
    <t>2023</t>
  </si>
  <si>
    <t>2024</t>
  </si>
  <si>
    <t>2025</t>
  </si>
  <si>
    <t>Placa de desarrollo ESP-32-S3</t>
  </si>
  <si>
    <t>Caja de plastico ABS impermeable 200-120-75 with ears negra</t>
  </si>
  <si>
    <t>Caja de bateria</t>
  </si>
  <si>
    <t xml:space="preserve">Simcom SIM7600G </t>
  </si>
  <si>
    <t>Paulina Yazmin Vallejo Nava</t>
  </si>
  <si>
    <t>Cristopher Huerta</t>
  </si>
  <si>
    <t>Cuerdas Ernieball</t>
  </si>
  <si>
    <t>3 Multicontactos</t>
  </si>
  <si>
    <t>Cuerda 2, Ernieball</t>
  </si>
  <si>
    <t>Papel de baño</t>
  </si>
  <si>
    <t>JLCPCB Manufacturing - Versión 2 del Prototipo</t>
  </si>
  <si>
    <t>Abril2</t>
  </si>
  <si>
    <t>kyfageraldinnatha</t>
  </si>
  <si>
    <t>JLCPCB Manufacturing - Versión 3 del Prototipo</t>
  </si>
  <si>
    <t>Fuente Regulada 9V 4A</t>
  </si>
  <si>
    <t>Cable Polarizado 22 AWG para batería Sanelec</t>
  </si>
  <si>
    <t>Conectores JST XH 2 pines (200 conectores)</t>
  </si>
  <si>
    <t>Kit de seperadores y tornillos de nylon</t>
  </si>
  <si>
    <t>Espaciadores y tornillos de latón</t>
  </si>
  <si>
    <t>Juego de tornillos para caja</t>
  </si>
  <si>
    <t>Mayo2</t>
  </si>
  <si>
    <t>Cesar Augusto Ancona Tellez</t>
  </si>
  <si>
    <t>16:00 a 17:00 Lun</t>
  </si>
  <si>
    <t>HSBC 1816</t>
  </si>
  <si>
    <t>Mauricio Vallejo</t>
  </si>
  <si>
    <t>Irving Omar Pacheco Flores</t>
  </si>
  <si>
    <t>Luis Tadeo Diaz Servín</t>
  </si>
  <si>
    <t>Limpieza 22-Feb</t>
  </si>
  <si>
    <t>Quincena Santiago</t>
  </si>
  <si>
    <t>Finiquito Frank</t>
  </si>
  <si>
    <t>Limpieza 12-Abr</t>
  </si>
  <si>
    <t>Limpieza 03-May</t>
  </si>
  <si>
    <t>Limpieza 15-Feb</t>
  </si>
  <si>
    <t>Adelanto involuntario Santiago</t>
  </si>
  <si>
    <t>Limpieza 05-Abr</t>
  </si>
  <si>
    <t>Limpieza 26-Abr</t>
  </si>
  <si>
    <t>Limpieza 19-Abr</t>
  </si>
  <si>
    <t>Mayeli Servin Morales</t>
  </si>
  <si>
    <t>Micro SD Cards y cable ethernet 30m</t>
  </si>
  <si>
    <t>Anillos de goma IP65, Modulos Bluetooth HC05, PLC Shield</t>
  </si>
  <si>
    <t>Baterías recargables, soportes batería, jumpers y rollo de niquel</t>
  </si>
  <si>
    <t>Planta portatil para soldadura por puntos</t>
  </si>
  <si>
    <t>Smartphone Motorola Moto G04s</t>
  </si>
  <si>
    <t>Prestamo Hugo</t>
  </si>
  <si>
    <t>Junio2</t>
  </si>
  <si>
    <t>Observaciones</t>
  </si>
  <si>
    <t>2x Micro SD Cards Lexar</t>
  </si>
  <si>
    <t>Lunes, se hace cargo el 31</t>
  </si>
  <si>
    <t>Gerardo Alexis Ayala Castillo</t>
  </si>
  <si>
    <t>Mario Andrés Alpízar Venegas</t>
  </si>
  <si>
    <t>Gerardo Tadeo Yépez Padilla</t>
  </si>
  <si>
    <t>Efectivo 04-Jun</t>
  </si>
  <si>
    <t>Itzel Ameyalli Lechuga Valero</t>
  </si>
  <si>
    <t>Julio3</t>
  </si>
  <si>
    <t>Agosto3</t>
  </si>
  <si>
    <t>Septiembre3</t>
  </si>
  <si>
    <t>Felix Santamaría Peña</t>
  </si>
  <si>
    <t xml:space="preserve">Iktan Nezzo Buendía Ramírez </t>
  </si>
  <si>
    <t>Santiago Bustamante</t>
  </si>
  <si>
    <t>Cristopher Eduardo Lopez Guzman</t>
  </si>
  <si>
    <t>Edwin Kevin Salazar Saenz</t>
  </si>
  <si>
    <t>Aileen Muñoa</t>
  </si>
  <si>
    <t>Martha Yanira Olvera Ricco</t>
  </si>
  <si>
    <t>Luna Daniela Flores Alvarez</t>
  </si>
  <si>
    <t>Maria de Lourdes Galindo Becerra</t>
  </si>
  <si>
    <t>Sofia Patiño Gonzalez</t>
  </si>
  <si>
    <t>Manuel Santiago Mendoza</t>
  </si>
  <si>
    <t>Leonardo Perez Gomez</t>
  </si>
  <si>
    <t>Leonardo Saul Ayala Vaca</t>
  </si>
  <si>
    <t>Santiago Rosas Estrada</t>
  </si>
  <si>
    <t>Becado</t>
  </si>
  <si>
    <t>Andrés Daza Flores</t>
  </si>
  <si>
    <t>Elian Matias Ayala Vaca</t>
  </si>
  <si>
    <t>Max Flores Alvarez</t>
  </si>
  <si>
    <t>Oscar Godinez Martinez</t>
  </si>
  <si>
    <t>Romina Rojas Aviles</t>
  </si>
  <si>
    <t>Axel Emiliano Rojas Aviles</t>
  </si>
  <si>
    <t>David Alejandro Allende Avila</t>
  </si>
  <si>
    <t>Mantenimiento de Junio y Julio</t>
  </si>
  <si>
    <t>Papel Higienico</t>
  </si>
  <si>
    <t>25 Juegos de Inscripción</t>
  </si>
  <si>
    <t>Corrector de cinta</t>
  </si>
  <si>
    <t>Maria de Lourdes Galindo</t>
  </si>
  <si>
    <t>400 perdidos</t>
  </si>
  <si>
    <t>Santiago</t>
  </si>
  <si>
    <t>Veronica Ramirez Ruano</t>
  </si>
  <si>
    <t>Limpieza 24-May</t>
  </si>
  <si>
    <t>Limpieza 07-Jun</t>
  </si>
  <si>
    <t>Limpieza 14-Jun</t>
  </si>
  <si>
    <t>Marketing Emiliano Rosas</t>
  </si>
  <si>
    <t>Limpieza 17-May</t>
  </si>
  <si>
    <t>Cables XLR</t>
  </si>
  <si>
    <t>Plumones</t>
  </si>
  <si>
    <t>Renta Local</t>
  </si>
  <si>
    <t>Limpieza 10-May</t>
  </si>
  <si>
    <t>Limpieza 21-Jun</t>
  </si>
  <si>
    <t>Limpieza 28-Jun</t>
  </si>
  <si>
    <t>Limpieza 05-Jul</t>
  </si>
  <si>
    <t>Limpieza 12-Jul</t>
  </si>
  <si>
    <t>Aisee Nuñez Lopez</t>
  </si>
  <si>
    <t>Alejandro Paris Hernandez Suarez</t>
  </si>
  <si>
    <t>Ayin Michelle Peña Gonzalez</t>
  </si>
  <si>
    <t>Carlos Alejandro Maya Rodriguez</t>
  </si>
  <si>
    <t>Daniel Yamir Quiroz Dias</t>
  </si>
  <si>
    <t>Efectivo 23-Jul</t>
  </si>
  <si>
    <t>Gabriela Gonzalez Casillas</t>
  </si>
  <si>
    <t>Fabricio Tello Hernandez</t>
  </si>
  <si>
    <t>Joshua Chanampa Villada</t>
  </si>
  <si>
    <t>Haydee Paola</t>
  </si>
  <si>
    <t>Efectivo 10-Jul</t>
  </si>
  <si>
    <t>Vanessa Desire Maya Bermudez</t>
  </si>
  <si>
    <t>Xanat Yamil Carmona Jimenez</t>
  </si>
  <si>
    <t>Se reincorpora Agosto</t>
  </si>
  <si>
    <t>Vacaciones</t>
  </si>
  <si>
    <t>Pamela Gutierrez Carrillo</t>
  </si>
  <si>
    <t>Carpeta y hojas</t>
  </si>
  <si>
    <t>Clase de muestra Teclado</t>
  </si>
  <si>
    <t>Clases de muestra Bateria (Demian)</t>
  </si>
  <si>
    <t>Clases de muestra Guitarra (Hugo)</t>
  </si>
  <si>
    <t>Clase de muestra Guitarra (Irwin)</t>
  </si>
  <si>
    <t>Zoom Anualidad</t>
  </si>
  <si>
    <t>Mantenimiento Guitarras</t>
  </si>
  <si>
    <t>Limpieza 19-Jul</t>
  </si>
  <si>
    <t>Pago Renta Mes Julio</t>
  </si>
  <si>
    <t>Pago Renta Mes Agosto</t>
  </si>
  <si>
    <t>Limpieza 26-Jul</t>
  </si>
  <si>
    <t>Teclado Alesis 88 teclas 480 sonidos MIDI</t>
  </si>
  <si>
    <t>Count of Estatus</t>
  </si>
  <si>
    <t>JLCPCB Manufacturing - Versión 4 del Prototipo</t>
  </si>
  <si>
    <t>Caja de plastico ABS impermeable 200-120-75 with ears blanca</t>
  </si>
  <si>
    <t>20 baterias 18650</t>
  </si>
  <si>
    <t>Kit de 10 memorias MicroSD 32GB Adata</t>
  </si>
  <si>
    <t>Mantenimiento mezcladora Yamaha</t>
  </si>
  <si>
    <t>Camara de seguridad WiFi Foco HD Nocturna</t>
  </si>
  <si>
    <t>25 Etiquetas CTIM-3 metalizadas Creatify</t>
  </si>
  <si>
    <t>Conectores DC IP68</t>
  </si>
  <si>
    <t>Conectores Ethernet IP68</t>
  </si>
  <si>
    <t>Power Supply 9V 4A Verifone</t>
  </si>
  <si>
    <t>Envío UPS CN MX</t>
  </si>
  <si>
    <t>Abril Torres Jimenez</t>
  </si>
  <si>
    <t>Baja Temporal</t>
  </si>
  <si>
    <t>Arianne Nahomy Rodriguez Grajeda</t>
  </si>
  <si>
    <t>Diego Alonso Grajeda</t>
  </si>
  <si>
    <t>Eitan Peña Gonzalez</t>
  </si>
  <si>
    <t>Montserrat Paulina Talavera Huarcacha</t>
  </si>
  <si>
    <t>Harim Lopez</t>
  </si>
  <si>
    <t>Paga 30-Ago</t>
  </si>
  <si>
    <t>Guadalupe Rebeca Juarez Vergara</t>
  </si>
  <si>
    <t>Rania Victoria Alcaraz Olvera</t>
  </si>
  <si>
    <t>Baja Definitiva</t>
  </si>
  <si>
    <t>Emilia Delgado</t>
  </si>
  <si>
    <t>Frida Valentina Vazquez Sanchez</t>
  </si>
  <si>
    <t>17:00 a 18:00 Vie</t>
  </si>
  <si>
    <t>Emiliano Alberto Cano Soto</t>
  </si>
  <si>
    <t>Diego Yael Cano Soto</t>
  </si>
  <si>
    <t>Gabriela Gonzalez</t>
  </si>
  <si>
    <t>Pago 10-Sep Sept y Oct</t>
  </si>
  <si>
    <t>Paga 1350 por baja de Abril</t>
  </si>
  <si>
    <t>Octubre3</t>
  </si>
  <si>
    <t>Noviembre3</t>
  </si>
  <si>
    <t>Diciembre2</t>
  </si>
  <si>
    <t>Limpieza 02-Ago</t>
  </si>
  <si>
    <t>Limpieza 09-Ago</t>
  </si>
  <si>
    <t>Luthier y cuerdas guitarra Washburn</t>
  </si>
  <si>
    <t>Limpieza 16-Ago</t>
  </si>
  <si>
    <t>Limpieza 23-Ago</t>
  </si>
  <si>
    <t>Limpieza 30-Ago</t>
  </si>
  <si>
    <t>MKT Emiliano Rosas</t>
  </si>
  <si>
    <t>Mantenimiento y agua</t>
  </si>
  <si>
    <t>Resistol 5000 tubo</t>
  </si>
  <si>
    <t>15 fotocopias reglamento de la escuela</t>
  </si>
  <si>
    <t>2 paquetes de rollos de papel higienico</t>
  </si>
  <si>
    <t>Transporte para visitar alcaldía</t>
  </si>
  <si>
    <t>Quincena Ximena</t>
  </si>
  <si>
    <t>Clases de Teclado Harim Lopez</t>
  </si>
  <si>
    <t>Finiquito Santiago</t>
  </si>
  <si>
    <t>Limpieza 13-Sept</t>
  </si>
  <si>
    <t>Limpieza 06-Sept</t>
  </si>
  <si>
    <t>Limpieza 27-Sept</t>
  </si>
  <si>
    <t>Pago Renta Mes Septiembre</t>
  </si>
  <si>
    <t>Limpieza 20-Sept</t>
  </si>
  <si>
    <t>Honorarios Contadora Rocio</t>
  </si>
  <si>
    <t>Julissa Lopez Guevara</t>
  </si>
  <si>
    <t>Yolotl Zeltzin Aguilar Villagrán</t>
  </si>
  <si>
    <t>Marty Isabella Alcaraz Olvera</t>
  </si>
  <si>
    <t>16:00 a 17:00 Vie</t>
  </si>
  <si>
    <t>19:00 a 20:00 Lun</t>
  </si>
  <si>
    <t>19:00 a 20:00 Mar</t>
  </si>
  <si>
    <t>12:00 a 13:00 Sab</t>
  </si>
  <si>
    <t xml:space="preserve">18:00 a 19:00 Lun y Vie </t>
  </si>
  <si>
    <t>15:00 a 16:00 Sab</t>
  </si>
  <si>
    <t>18:00 a 19:00 Jue</t>
  </si>
  <si>
    <t>17:00 a 18:00 Mie</t>
  </si>
  <si>
    <t>19:00 a 20:00 Jue</t>
  </si>
  <si>
    <t xml:space="preserve">18:00 a 19:00 Lun y Mie </t>
  </si>
  <si>
    <t>17:00 a 18:00 Lun y 16:00 a 17:00 Mar</t>
  </si>
  <si>
    <t xml:space="preserve">16:00 a 17:00 Mie </t>
  </si>
  <si>
    <t>11:00 a 12:00 Sab</t>
  </si>
  <si>
    <t xml:space="preserve">11:00 a 12:00 Sab </t>
  </si>
  <si>
    <t>18:00 a 19:00 Mar</t>
  </si>
  <si>
    <t>16:00 a 17:00 Mie</t>
  </si>
  <si>
    <t>19:00 a 20:00 Vie</t>
  </si>
  <si>
    <t>17:00 a 19:00 Jue</t>
  </si>
  <si>
    <t>17:00 a 18:00 Mar</t>
  </si>
  <si>
    <t>17:00 a 18:00 Jue</t>
  </si>
  <si>
    <t>12:30 a 13:30 Sab</t>
  </si>
  <si>
    <t>16:00 a 17:00 Jue</t>
  </si>
  <si>
    <t>16:00 a 17:00 Lun y Mie</t>
  </si>
  <si>
    <t xml:space="preserve">17:00 a 18:00 Mie </t>
  </si>
  <si>
    <t xml:space="preserve">18:00 a 19:00 Mar </t>
  </si>
  <si>
    <t xml:space="preserve">15:00 a 16:00 Sab </t>
  </si>
  <si>
    <t>13:00 a 14:00 Sab</t>
  </si>
  <si>
    <t>11:00 a 12:00 Jue</t>
  </si>
  <si>
    <t>18:00 a 19:00 Lun</t>
  </si>
  <si>
    <t>18:00 a 19:00 Mie</t>
  </si>
  <si>
    <t>19:00 a 20:00 Mie</t>
  </si>
  <si>
    <t>17:00 a 18:00 Lun y Vie</t>
  </si>
  <si>
    <t>15:00 a 16:00 Mie</t>
  </si>
  <si>
    <t>12:00 a 13:00 Mie</t>
  </si>
  <si>
    <t>15:00 a 16:00 Mar</t>
  </si>
  <si>
    <t>17:00 a 18:00 Lun</t>
  </si>
  <si>
    <t>vierne</t>
  </si>
  <si>
    <t>Debe 500</t>
  </si>
  <si>
    <t>Efectivo 18-Oct</t>
  </si>
  <si>
    <t>Mercedes Alejandra</t>
  </si>
  <si>
    <t>Samantha Sandoval</t>
  </si>
  <si>
    <t>Francisco Gabriel Sandoval</t>
  </si>
  <si>
    <t>Etiquetas de columna</t>
  </si>
  <si>
    <t>Etiquetas de fila</t>
  </si>
  <si>
    <t>Total general</t>
  </si>
  <si>
    <t>(Varios elementos)</t>
  </si>
  <si>
    <t>Suma de Noviembre3</t>
  </si>
  <si>
    <t>Total 2023</t>
  </si>
  <si>
    <t>Total 2024</t>
  </si>
  <si>
    <t>Total 2025</t>
  </si>
  <si>
    <t>&lt;31/03/2023</t>
  </si>
  <si>
    <t>Total &lt;31/03/2023</t>
  </si>
  <si>
    <t>Trim.1</t>
  </si>
  <si>
    <t>Total Trim.1</t>
  </si>
  <si>
    <t>Trim.2</t>
  </si>
  <si>
    <t>Total Trim.2</t>
  </si>
  <si>
    <t>Trim.3</t>
  </si>
  <si>
    <t>Total Trim.3</t>
  </si>
  <si>
    <t>Trim.4</t>
  </si>
  <si>
    <t>Total Trim.4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</si>
  <si>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</si>
  <si>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</si>
  <si>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</si>
  <si>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</si>
  <si>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</si>
  <si>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</si>
  <si>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</si>
  <si>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</si>
  <si>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</si>
  <si>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</si>
  <si>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feb</t>
  </si>
  <si>
    <t>abr</t>
  </si>
  <si>
    <t>(en blanco)</t>
  </si>
  <si>
    <t>Paquete de rollos de papel higienico</t>
  </si>
  <si>
    <t>Jabon liquido para manos</t>
  </si>
  <si>
    <t>Saldo del celular</t>
  </si>
  <si>
    <t>Limpíeza 04-Oct</t>
  </si>
  <si>
    <t>Limpieza 11-Oct</t>
  </si>
  <si>
    <t>Limpieza 18-Oct</t>
  </si>
  <si>
    <t>Limpieza 25-Oct</t>
  </si>
  <si>
    <t>Curso de creación de Agentes de AI con n8n</t>
  </si>
  <si>
    <t>Limpieza 01-Nov</t>
  </si>
  <si>
    <t>PADs para Batería 8"</t>
  </si>
  <si>
    <t>Limpieza 08-Nov</t>
  </si>
  <si>
    <t>Zoom Communications, anualidad</t>
  </si>
  <si>
    <t>Limpieza 15-Nov</t>
  </si>
  <si>
    <t>Limpieza 22-Nov</t>
  </si>
  <si>
    <t>Saldo de Celular</t>
  </si>
  <si>
    <t>Relleno de Pino y Cloro</t>
  </si>
  <si>
    <t>Prestamo Juan Antonio</t>
  </si>
  <si>
    <t>Sillas</t>
  </si>
  <si>
    <t>Investigación jurídica</t>
  </si>
  <si>
    <t>Videos de Frank Mayo</t>
  </si>
  <si>
    <t>Ampli Orange 32RT</t>
  </si>
  <si>
    <t>Tornillos para madera</t>
  </si>
  <si>
    <t>Mueble Recepción Michigan 1.10m frente</t>
  </si>
  <si>
    <t>Extensiones</t>
  </si>
  <si>
    <t>Cables RCA - Plug</t>
  </si>
  <si>
    <t>Convertidores audifonos</t>
  </si>
  <si>
    <t>Transacción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</si>
</sst>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;[Red]&quot;$&quot;#,##0.00"/>
    <numFmt numFmtId="166" formatCode="[$-409]d\-mmm\-yy;@"/>
    <numFmt numFmtId="167" formatCode="[$-409]d\-mmm\-yyyy;@"/>
    <numFmt numFmtId="168" formatCode="&quot;$&quot;#,##0.00"/>
    <numFmt numFmtId="169" formatCode="#,##0;[Red]#,##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66" fontId="0" fillId="0" borderId="0" xfId="0" applyNumberForma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0" applyFont="1" applyFill="1"/>
    <xf numFmtId="8" fontId="1" fillId="2" borderId="0" xfId="0" applyNumberFormat="1" applyFont="1" applyFill="1" applyAlignment="1">
      <alignment horizontal="center"/>
    </xf>
    <xf numFmtId="9" fontId="1" fillId="2" borderId="0" xfId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1" fillId="4" borderId="1" xfId="0" applyFont="1" applyFill="1" applyBorder="1" applyAlignment="1">
      <alignment horizontal="center" wrapText="1"/>
    </xf>
    <xf numFmtId="0" fontId="0" fillId="3" borderId="0" xfId="0" applyFill="1"/>
    <xf numFmtId="8" fontId="0" fillId="3" borderId="0" xfId="0" applyNumberFormat="1" applyFill="1" applyAlignment="1">
      <alignment horizontal="center"/>
    </xf>
    <xf numFmtId="8" fontId="1" fillId="4" borderId="2" xfId="0" applyNumberFormat="1" applyFont="1" applyFill="1" applyBorder="1" applyAlignment="1">
      <alignment horizontal="center"/>
    </xf>
    <xf numFmtId="9" fontId="1" fillId="4" borderId="2" xfId="1" applyFon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3" xfId="0" applyFont="1" applyFill="1" applyBorder="1"/>
    <xf numFmtId="8" fontId="1" fillId="2" borderId="3" xfId="0" applyNumberFormat="1" applyFont="1" applyFill="1" applyBorder="1" applyAlignment="1">
      <alignment horizontal="center"/>
    </xf>
    <xf numFmtId="9" fontId="1" fillId="2" borderId="3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68" fontId="0" fillId="0" borderId="0" xfId="0" applyNumberFormat="1"/>
    <xf numFmtId="165" fontId="0" fillId="0" borderId="0" xfId="0" applyNumberFormat="1" applyAlignment="1">
      <alignment wrapText="1"/>
    </xf>
    <xf numFmtId="16" fontId="0" fillId="0" borderId="0" xfId="0" applyNumberFormat="1" applyAlignment="1">
      <alignment horizontal="center"/>
    </xf>
    <xf numFmtId="165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0" fillId="0" borderId="0" xfId="0" applyAlignment="1">
      <alignment horizontal="left" indent="1"/>
    </xf>
    <xf numFmtId="164" fontId="0" fillId="0" borderId="0" xfId="0" applyNumberFormat="1"/>
    <xf numFmtId="165" fontId="5" fillId="0" borderId="0" xfId="0" applyNumberFormat="1" applyFont="1" applyAlignment="1">
      <alignment horizontal="righ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0" fillId="6" borderId="0" xfId="0" applyFill="1"/>
    <xf numFmtId="17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/>
    </xf>
    <xf numFmtId="169" fontId="0" fillId="0" borderId="0" xfId="0" applyNumberFormat="1" applyAlignment="1">
      <alignment horizontal="center"/>
    </xf>
    <xf numFmtId="165" fontId="6" fillId="0" borderId="0" xfId="0" applyNumberFormat="1" applyFont="1" applyAlignment="1">
      <alignment horizontal="right"/>
    </xf>
    <xf numFmtId="169" fontId="1" fillId="5" borderId="2" xfId="0" applyNumberFormat="1" applyFont="1" applyFill="1" applyBorder="1" applyAlignment="1">
      <alignment horizontal="center"/>
    </xf>
    <xf numFmtId="1" fontId="0" fillId="8" borderId="0" xfId="0" applyNumberFormat="1" applyFill="1" applyAlignment="1">
      <alignment horizontal="center"/>
    </xf>
    <xf numFmtId="165" fontId="4" fillId="7" borderId="0" xfId="0" applyNumberFormat="1" applyFont="1" applyFill="1" applyAlignment="1">
      <alignment horizontal="right"/>
    </xf>
    <xf numFmtId="1" fontId="0" fillId="9" borderId="0" xfId="0" applyNumberFormat="1" applyFill="1"/>
    <xf numFmtId="44" fontId="0" fillId="0" borderId="0" xfId="0" applyNumberFormat="1"/>
    <xf numFmtId="44" fontId="0" fillId="0" borderId="0" xfId="0" applyNumberFormat="1" applyAlignment="1">
      <alignment horizontal="center"/>
    </xf>
    <xf numFmtId="167" fontId="5" fillId="6" borderId="0" xfId="0" applyNumberFormat="1" applyFon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7" fontId="4" fillId="6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49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font>
        <b/>
      </font>
    </dxf>
    <dxf>
      <alignment horizontal="right"/>
    </dxf>
    <dxf>
      <alignment horizontal="right"/>
    </dxf>
    <dxf>
      <alignment horizontal="left"/>
    </dxf>
    <dxf>
      <alignment horizontal="center"/>
    </dxf>
    <dxf>
      <font>
        <b/>
      </font>
    </dxf>
    <dxf>
      <numFmt numFmtId="168" formatCode="&quot;$&quot;#,##0.00"/>
    </dxf>
    <dxf>
      <alignment horizontal="center"/>
    </dxf>
    <dxf>
      <alignment horizontal="center"/>
    </dxf>
    <dxf>
      <numFmt numFmtId="34" formatCode="_-&quot;$&quot;* #,##0.00_-;\-&quot;$&quot;* #,##0.00_-;_-&quot;$&quot;* &quot;-&quot;??_-;_-@_-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0" formatCode="General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Socios Symbiot.xlsx]Grafico de gastos por socio!Tabla 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de gastos por socio'!$D$2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'Grafico de gastos por socio'!$C$3:$C$7</c:f>
              <c:strCache>
                <c:ptCount val="4"/>
                <c:pt idx="0">
                  <c:v>Antonio Razo</c:v>
                </c:pt>
                <c:pt idx="1">
                  <c:v>Hugo Vazquez</c:v>
                </c:pt>
                <c:pt idx="2">
                  <c:v>Marco Delgado</c:v>
                </c:pt>
                <c:pt idx="3">
                  <c:v>Escuela</c:v>
                </c:pt>
              </c:strCache>
            </c:strRef>
          </c:cat>
          <c:val>
            <c:numRef>
              <c:f>'Grafico de gastos por socio'!$D$3:$D$7</c:f>
              <c:numCache>
                <c:formatCode>"$"#,##0.00_);[Red]\("$"#,##0.00\)</c:formatCode>
                <c:ptCount val="4"/>
                <c:pt idx="0">
                  <c:v>261199.86</c:v>
                </c:pt>
                <c:pt idx="1">
                  <c:v>78503</c:v>
                </c:pt>
                <c:pt idx="2">
                  <c:v>292999.51999999996</c:v>
                </c:pt>
                <c:pt idx="3">
                  <c:v>912834.74999999988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93-48E9-9C63-D6C228C1F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1962599"/>
        <c:axId val="1650810184"/>
      </c:barChart>
      <c:catAx>
        <c:axId val="1751962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810184"/>
        <c:crosses val="autoZero"/>
        <c:auto val="1"/>
        <c:lblAlgn val="ctr"/>
        <c:lblOffset val="100"/>
        <c:noMultiLvlLbl val="0"/>
      </c:catAx>
      <c:valAx>
        <c:axId val="165081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6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188595</xdr:colOff>
      <xdr:row>6</xdr:row>
      <xdr:rowOff>179070</xdr:rowOff>
    </xdr:from>
    <xdr:to>
      <xdr:col>7</xdr:col>
      <xdr:colOff>1188720</xdr:colOff>
      <xdr:row>21</xdr:row>
      <xdr:rowOff>74295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3FF35B52-8DF1-060F-4FAE-DC7847C94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Relationship Id="rId1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_MENSUAL_GASTOS"/>
      <sheetName val="PARA LLENAR"/>
      <sheetName val="Detalle de Gastos iniciales"/>
      <sheetName val="Sheet1 (2)"/>
      <sheetName val="A5-60"/>
      <sheetName val="A20-75"/>
      <sheetName val="Croquis del Local"/>
      <sheetName val="Gastos Reales"/>
      <sheetName val="Evaluación por mes (sueldos)"/>
      <sheetName val="Evaluación por mes (comisiones)"/>
      <sheetName val="BALANCE GENERAL"/>
      <sheetName val="Diferencia Plan vs Real"/>
      <sheetName val="Reporte Plan vs Real"/>
      <sheetName val="ESTADO_DE_RESULTADOS"/>
      <sheetName val="EVALUACIÓN DEL PROYECTO"/>
      <sheetName val="PUNTO DE EQUILIBRIO"/>
      <sheetName val="CASHFLOW"/>
      <sheetName val="TABLERO_MENSUAL_INGRESOS"/>
      <sheetName val="SALUD_NEGOCIO"/>
      <sheetName val="AUX"/>
      <sheetName val="RENDIMI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9">
          <cell r="AA129">
            <v>36912.33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E2FD7573-EEF7-489F-9674-4DF7CA43760D}" userId="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2914259259" createdVersion="8" refreshedVersion="8" minRefreshableVersion="3" recordCount="112" xr:uid="{B7B105C5-6145-4FBC-BA83-363B0769A7BD}">
  <cacheSource type="worksheet">
    <worksheetSource name="Table14"/>
  </cacheSource>
  <cacheFields count="49">
    <cacheField name="Num Alumno" numFmtId="1">
      <sharedItems containsString="0" containsBlank="1" containsNumber="1" containsInteger="1" minValue="1" maxValue="110"/>
    </cacheField>
    <cacheField name="Alumno" numFmtId="0">
      <sharedItems containsBlank="1"/>
    </cacheField>
    <cacheField name="Edad" numFmtId="0">
      <sharedItems containsString="0" containsBlank="1" containsNumber="1" containsInteger="1" minValue="5" maxValue="70"/>
    </cacheField>
    <cacheField name="Maestro" numFmtId="0">
      <sharedItems containsBlank="1" count="12">
        <s v="Demian Andrade"/>
        <s v="Julio Olvera"/>
        <s v="Irwin"/>
        <s v="Hugo Vázquez"/>
        <s v="Manuel Reyes"/>
        <s v="Luis Blanquet"/>
        <s v="Nahomy Perez"/>
        <s v="Harim Lopez"/>
        <m/>
        <s v="Irwin " u="1"/>
        <s v="Bajo" u="1"/>
        <s v="Annie / Nahomy" u="1"/>
      </sharedItems>
    </cacheField>
    <cacheField name="Fecha de inscripción" numFmtId="167">
      <sharedItems containsNonDate="0" containsDate="1" containsString="0" containsBlank="1" minDate="2023-08-01T00:00:00" maxDate="2025-10-05T00:00:00"/>
    </cacheField>
    <cacheField name="Fecha de pago" numFmtId="167">
      <sharedItems containsNonDate="0" containsDate="1" containsString="0" containsBlank="1" minDate="2023-09-01T00:00:00" maxDate="2025-11-03T00:00:00"/>
    </cacheField>
    <cacheField name="Promocion" numFmtId="0">
      <sharedItems containsBlank="1"/>
    </cacheField>
    <cacheField name="Clase" numFmtId="0">
      <sharedItems containsBlank="1" count="6">
        <s v="Batería"/>
        <s v="Guitarra"/>
        <s v="Teclado"/>
        <s v="Bajo"/>
        <s v="Canto"/>
        <m/>
      </sharedItems>
    </cacheField>
    <cacheField name="Tipo" numFmtId="0">
      <sharedItems containsBlank="1" count="3">
        <s v="G"/>
        <s v="I"/>
        <m/>
      </sharedItems>
    </cacheField>
    <cacheField name="Horario" numFmtId="0">
      <sharedItems containsBlank="1"/>
    </cacheField>
    <cacheField name="Forma de Pago" numFmtId="0">
      <sharedItems containsBlank="1"/>
    </cacheField>
    <cacheField name="Domicilado" numFmtId="0">
      <sharedItems containsBlank="1"/>
    </cacheField>
    <cacheField name="Cantidad" numFmtId="0">
      <sharedItems containsString="0" containsBlank="1" containsNumber="1" containsInteger="1" minValue="1" maxValue="2"/>
    </cacheField>
    <cacheField name="Precio x unidad" numFmtId="165">
      <sharedItems containsString="0" containsBlank="1" containsNumber="1" containsInteger="1" minValue="1000" maxValue="2000"/>
    </cacheField>
    <cacheField name="Domicilado2" numFmtId="0">
      <sharedItems containsBlank="1"/>
    </cacheField>
    <cacheField name="Estatus" numFmtId="0">
      <sharedItems containsBlank="1" count="3">
        <s v="Baja"/>
        <s v="Activo"/>
        <m/>
      </sharedItems>
    </cacheField>
    <cacheField name="Tipo de Clase" numFmtId="0">
      <sharedItems/>
    </cacheField>
    <cacheField name="Julio" numFmtId="0">
      <sharedItems containsString="0" containsBlank="1" containsNumber="1" containsInteger="1" minValue="0" maxValue="0"/>
    </cacheField>
    <cacheField name="Agosto" numFmtId="165">
      <sharedItems containsString="0" containsBlank="1" containsNumber="1" containsInteger="1" minValue="0" maxValue="1500"/>
    </cacheField>
    <cacheField name="Septiembre" numFmtId="165">
      <sharedItems containsString="0" containsBlank="1" containsNumber="1" containsInteger="1" minValue="0" maxValue="2700"/>
    </cacheField>
    <cacheField name="Octubre" numFmtId="165">
      <sharedItems containsString="0" containsBlank="1" containsNumber="1" containsInteger="1" minValue="0" maxValue="2700"/>
    </cacheField>
    <cacheField name="Noviembre" numFmtId="165">
      <sharedItems containsString="0" containsBlank="1" containsNumber="1" containsInteger="1" minValue="0" maxValue="2700"/>
    </cacheField>
    <cacheField name="Diciembre" numFmtId="165">
      <sharedItems containsString="0" containsBlank="1" containsNumber="1" containsInteger="1" minValue="0" maxValue="2000"/>
    </cacheField>
    <cacheField name="Enero" numFmtId="165">
      <sharedItems containsString="0" containsBlank="1" containsNumber="1" containsInteger="1" minValue="0" maxValue="2000"/>
    </cacheField>
    <cacheField name="Febrero" numFmtId="165">
      <sharedItems containsString="0" containsBlank="1" containsNumber="1" containsInteger="1" minValue="0" maxValue="2000"/>
    </cacheField>
    <cacheField name="Marzo" numFmtId="165">
      <sharedItems containsString="0" containsBlank="1" containsNumber="1" containsInteger="1" minValue="0" maxValue="2000"/>
    </cacheField>
    <cacheField name="Abril" numFmtId="165">
      <sharedItems containsString="0" containsBlank="1" containsNumber="1" containsInteger="1" minValue="0" maxValue="2000"/>
    </cacheField>
    <cacheField name="Mayo" numFmtId="165">
      <sharedItems containsString="0" containsBlank="1" containsNumber="1" containsInteger="1" minValue="0" maxValue="2000"/>
    </cacheField>
    <cacheField name="Junio" numFmtId="165">
      <sharedItems containsString="0" containsBlank="1" containsNumber="1" containsInteger="1" minValue="0" maxValue="2000"/>
    </cacheField>
    <cacheField name="Julio2" numFmtId="165">
      <sharedItems containsString="0" containsBlank="1" containsNumber="1" containsInteger="1" minValue="0" maxValue="2250"/>
    </cacheField>
    <cacheField name="Agosto2" numFmtId="165">
      <sharedItems containsString="0" containsBlank="1" containsNumber="1" containsInteger="1" minValue="0" maxValue="2250"/>
    </cacheField>
    <cacheField name="Septiembre2" numFmtId="165">
      <sharedItems containsString="0" containsBlank="1" containsNumber="1" containsInteger="1" minValue="0" maxValue="2000"/>
    </cacheField>
    <cacheField name="Octubre2" numFmtId="165">
      <sharedItems containsString="0" containsBlank="1" containsNumber="1" containsInteger="1" minValue="0" maxValue="1800"/>
    </cacheField>
    <cacheField name="Noviembre2" numFmtId="165">
      <sharedItems containsString="0" containsBlank="1" containsNumber="1" containsInteger="1" minValue="0" maxValue="1800"/>
    </cacheField>
    <cacheField name="Diciembre3" numFmtId="165">
      <sharedItems containsString="0" containsBlank="1" containsNumber="1" containsInteger="1" minValue="0" maxValue="1800"/>
    </cacheField>
    <cacheField name="Enero2" numFmtId="165">
      <sharedItems containsString="0" containsBlank="1" containsNumber="1" containsInteger="1" minValue="0" maxValue="2550"/>
    </cacheField>
    <cacheField name="Febrero2" numFmtId="165">
      <sharedItems containsString="0" containsBlank="1" containsNumber="1" containsInteger="1" minValue="0" maxValue="2550"/>
    </cacheField>
    <cacheField name="Marzo2" numFmtId="165">
      <sharedItems containsString="0" containsBlank="1" containsNumber="1" containsInteger="1" minValue="0" maxValue="2550"/>
    </cacheField>
    <cacheField name="Abril2" numFmtId="165">
      <sharedItems containsString="0" containsBlank="1" containsNumber="1" containsInteger="1" minValue="0" maxValue="2550"/>
    </cacheField>
    <cacheField name="Mayo2" numFmtId="165">
      <sharedItems containsString="0" containsBlank="1" containsNumber="1" containsInteger="1" minValue="0" maxValue="2550"/>
    </cacheField>
    <cacheField name="Junio2" numFmtId="165">
      <sharedItems containsString="0" containsBlank="1" containsNumber="1" containsInteger="1" minValue="0" maxValue="2550"/>
    </cacheField>
    <cacheField name="Julio3" numFmtId="165">
      <sharedItems containsString="0" containsBlank="1" containsNumber="1" containsInteger="1" minValue="0" maxValue="2550"/>
    </cacheField>
    <cacheField name="Agosto3" numFmtId="165">
      <sharedItems containsString="0" containsBlank="1" containsNumber="1" containsInteger="1" minValue="0" maxValue="2550"/>
    </cacheField>
    <cacheField name="Septiembre3" numFmtId="165">
      <sharedItems containsString="0" containsBlank="1" containsNumber="1" containsInteger="1" minValue="0" maxValue="2550"/>
    </cacheField>
    <cacheField name="Octubre3" numFmtId="165">
      <sharedItems containsString="0" containsBlank="1" containsNumber="1" containsInteger="1" minValue="0" maxValue="2550"/>
    </cacheField>
    <cacheField name="Noviembre3" numFmtId="165">
      <sharedItems containsString="0" containsBlank="1" containsNumber="1" containsInteger="1" minValue="0" maxValue="2550"/>
    </cacheField>
    <cacheField name="Diciembre2" numFmtId="165">
      <sharedItems containsString="0" containsBlank="1" containsNumber="1" containsInteger="1" minValue="0" maxValue="1350"/>
    </cacheField>
    <cacheField name="Total" numFmtId="165">
      <sharedItems containsSemiMixedTypes="0" containsString="0" containsNumber="1" containsInteger="1" minValue="0" maxValue="49100"/>
    </cacheField>
    <cacheField name="Observaciones" numFmtId="165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6872314815" createdVersion="8" refreshedVersion="8" minRefreshableVersion="3" recordCount="735" xr:uid="{98BC58F3-262E-4288-A2CA-048DAFE65C5C}">
  <cacheSource type="worksheet">
    <worksheetSource name="Table1"/>
  </cacheSource>
  <cacheFields count="10">
    <cacheField name="Fecha" numFmtId="166">
      <sharedItems containsNonDate="0" containsDate="1" containsString="0" containsBlank="1" minDate="2023-03-31T00:00:00" maxDate="2025-12-01T00:00:00" count="320">
        <d v="2023-03-31T00:00:00"/>
        <d v="2023-05-05T00:00:00"/>
        <d v="2023-05-13T00:00:00"/>
        <d v="2023-05-17T00:00:00"/>
        <d v="2023-05-22T00:00:00"/>
        <d v="2023-05-23T00:00:00"/>
        <d v="2023-05-30T00:00:00"/>
        <d v="2023-05-31T00:00:00"/>
        <d v="2023-06-02T00:00:00"/>
        <d v="2023-06-04T00:00:00"/>
        <d v="2023-06-06T00:00:00"/>
        <d v="2023-06-11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6T00:00:00"/>
        <d v="2023-06-30T00:00:00"/>
        <d v="2023-07-01T00:00:00"/>
        <d v="2023-07-04T00:00:00"/>
        <d v="2023-07-06T00:00:00"/>
        <d v="2023-07-07T00:00:00"/>
        <d v="2023-07-09T00:00:00"/>
        <d v="2023-07-11T00:00:00"/>
        <d v="2023-07-12T00:00:00"/>
        <d v="2023-07-13T00:00:00"/>
        <d v="2023-07-15T00:00:00"/>
        <d v="2023-07-17T00:00:00"/>
        <d v="2023-07-20T00:00:00"/>
        <d v="2023-07-21T00:00:00"/>
        <d v="2023-07-22T00:00:00"/>
        <d v="2023-07-24T00:00:00"/>
        <d v="2023-07-25T00:00:00"/>
        <d v="2023-07-29T00:00:00"/>
        <d v="2023-07-31T00:00:00"/>
        <d v="2023-08-01T00:00:00"/>
        <d v="2023-08-05T00:00:00"/>
        <d v="2023-08-06T00:00:00"/>
        <d v="2023-08-12T00:00:00"/>
        <d v="2023-08-15T00:00:00"/>
        <d v="2023-08-17T00:00:00"/>
        <d v="2023-08-19T00:00:00"/>
        <d v="2023-08-21T00:00:00"/>
        <d v="2023-08-22T00:00:00"/>
        <d v="2023-08-23T00:00:00"/>
        <d v="2023-08-24T00:00:00"/>
        <d v="2023-08-26T00:00:00"/>
        <d v="2023-08-28T00:00:00"/>
        <d v="2023-08-29T00:00:00"/>
        <d v="2023-08-31T00:00:00"/>
        <d v="2023-09-02T00:00:00"/>
        <d v="2023-09-08T00:00:00"/>
        <d v="2023-09-09T00:00:00"/>
        <d v="2023-09-15T00:00:00"/>
        <d v="2023-09-20T00:00:00"/>
        <d v="2023-09-21T00:00:00"/>
        <d v="2023-09-24T00:00:00"/>
        <d v="2023-09-26T00:00:00"/>
        <d v="2023-09-30T00:00:00"/>
        <d v="2023-10-01T00:00:00"/>
        <d v="2023-10-04T00:00:00"/>
        <d v="2023-10-06T00:00:00"/>
        <d v="2023-10-07T00:00:00"/>
        <d v="2023-10-14T00:00:00"/>
        <d v="2023-10-15T00:00:00"/>
        <d v="2023-10-16T00:00:00"/>
        <d v="2023-10-20T00:00:00"/>
        <d v="2023-10-21T00:00:00"/>
        <d v="2023-10-28T00:00:00"/>
        <d v="2023-10-31T00:00:00"/>
        <d v="2023-11-04T00:00:00"/>
        <d v="2023-11-10T00:00:00"/>
        <d v="2023-11-12T00:00:00"/>
        <d v="2023-11-14T00:00:00"/>
        <d v="2023-11-16T00:00:00"/>
        <d v="2023-11-17T00:00:00"/>
        <d v="2023-11-18T00:00:00"/>
        <d v="2023-11-20T00:00:00"/>
        <d v="2023-11-25T00:00:00"/>
        <d v="2023-11-27T00:00:00"/>
        <d v="2023-11-29T00:00:00"/>
        <d v="2023-11-30T00:00:00"/>
        <d v="2023-12-02T00:00:00"/>
        <d v="2023-12-09T00:00:00"/>
        <d v="2023-12-11T00:00:00"/>
        <d v="2023-12-16T00:00:00"/>
        <d v="2023-12-18T00:00:00"/>
        <d v="2023-12-20T00:00:00"/>
        <d v="2023-12-21T00:00:00"/>
        <d v="2023-12-31T00:00:00"/>
        <d v="2024-01-05T00:00:00"/>
        <d v="2024-01-06T00:00:00"/>
        <d v="2024-01-07T00:00:00"/>
        <d v="2024-01-12T00:00:00"/>
        <d v="2024-01-14T00:00:00"/>
        <d v="2024-01-15T00:00:00"/>
        <d v="2024-01-16T00:00:00"/>
        <d v="2024-01-20T00:00:00"/>
        <d v="2024-01-22T00:00:00"/>
        <d v="2024-01-29T00:00:00"/>
        <d v="2024-01-31T00:00:00"/>
        <d v="2024-02-02T00:00:00"/>
        <d v="2024-02-03T00:00:00"/>
        <d v="2024-02-10T00:00:00"/>
        <d v="2024-02-12T00:00:00"/>
        <d v="2024-02-16T00:00:00"/>
        <d v="2024-02-18T00:00:00"/>
        <d v="2024-02-19T00:00:00"/>
        <d v="2024-02-23T00:00:00"/>
        <d v="2024-02-24T00:00:00"/>
        <d v="2024-02-28T00:00:00"/>
        <d v="2024-02-29T00:00:00"/>
        <d v="2024-03-02T00:00:00"/>
        <d v="2024-03-08T00:00:00"/>
        <d v="2024-03-09T00:00:00"/>
        <d v="2024-03-12T00:00:00"/>
        <d v="2024-03-15T00:00:00"/>
        <d v="2024-03-16T00:00:00"/>
        <d v="2024-03-18T00:00:00"/>
        <d v="2024-03-22T00:00:00"/>
        <d v="2024-03-25T00:00:00"/>
        <d v="2024-03-30T00:00:00"/>
        <d v="2024-03-31T00:00:00"/>
        <d v="2024-04-04T00:00:00"/>
        <d v="2024-04-08T00:00:00"/>
        <d v="2024-04-14T00:00:00"/>
        <d v="2024-04-17T00:00:00"/>
        <d v="2024-04-21T00:00:00"/>
        <d v="2024-04-27T00:00:00"/>
        <d v="2024-04-29T00:00:00"/>
        <d v="2024-04-30T00:00:00"/>
        <d v="2024-05-04T00:00:00"/>
        <d v="2024-05-05T00:00:00"/>
        <d v="2024-05-08T00:00:00"/>
        <d v="2024-05-09T00:00:00"/>
        <d v="2024-05-10T00:00:00"/>
        <d v="2024-05-13T00:00:00"/>
        <d v="2024-05-18T00:00:00"/>
        <d v="2024-05-19T00:00:00"/>
        <d v="2024-05-20T00:00:00"/>
        <d v="2024-05-22T00:00:00"/>
        <d v="2024-05-27T00:00:00"/>
        <d v="2024-05-31T00:00:00"/>
        <d v="2024-06-01T00:00:00"/>
        <d v="2024-06-03T00:00:00"/>
        <d v="2024-06-09T00:00:00"/>
        <d v="2024-06-11T00:00:00"/>
        <d v="2024-06-15T00:00:00"/>
        <d v="2024-06-16T00:00:00"/>
        <d v="2024-06-18T00:00:00"/>
        <d v="2024-06-22T00:00:00"/>
        <d v="2024-06-23T00:00:00"/>
        <d v="2024-06-29T00:00:00"/>
        <d v="2024-06-30T00:00:00"/>
        <d v="2024-07-06T00:00:00"/>
        <d v="2024-07-08T00:00:00"/>
        <d v="2024-07-13T00:00:00"/>
        <d v="2024-07-15T00:00:00"/>
        <d v="2024-07-16T00:00:00"/>
        <d v="2024-07-22T00:00:00"/>
        <d v="2024-07-25T00:00:00"/>
        <d v="2024-07-27T00:00:00"/>
        <d v="2024-07-30T00:00:00"/>
        <d v="2024-08-04T00:00:00"/>
        <d v="2024-08-06T00:00:00"/>
        <d v="2024-08-12T00:00:00"/>
        <d v="2024-08-16T00:00:00"/>
        <d v="2024-08-18T00:00:00"/>
        <d v="2024-08-19T00:00:00"/>
        <d v="2024-08-21T00:00:00"/>
        <d v="2024-08-24T00:00:00"/>
        <d v="2024-08-30T00:00:00"/>
        <d v="2024-08-31T00:00:00"/>
        <d v="2024-09-02T00:00:00"/>
        <d v="2024-09-06T00:00:00"/>
        <d v="2024-09-07T00:00:00"/>
        <d v="2024-09-16T00:00:00"/>
        <d v="2024-09-17T00:00:00"/>
        <d v="2024-09-21T00:00:00"/>
        <d v="2024-09-23T00:00:00"/>
        <d v="2024-09-30T00:00:00"/>
        <d v="2024-10-04T00:00:00"/>
        <d v="2024-10-06T00:00:00"/>
        <d v="2024-10-11T00:00:00"/>
        <d v="2024-10-15T00:00:00"/>
        <d v="2024-10-16T00:00:00"/>
        <d v="2024-10-21T00:00:00"/>
        <d v="2024-10-26T00:00:00"/>
        <d v="2024-10-29T00:00:00"/>
        <d v="2024-10-31T00:00:00"/>
        <d v="2024-11-02T00:00:00"/>
        <d v="2024-11-04T00:00:00"/>
        <d v="2024-11-08T00:00:00"/>
        <d v="2024-11-09T00:00:00"/>
        <d v="2024-11-12T00:00:00"/>
        <d v="2024-11-14T00:00:00"/>
        <d v="2024-11-15T00:00:00"/>
        <d v="2024-11-16T00:00:00"/>
        <d v="2024-11-21T00:00:00"/>
        <d v="2024-11-30T00:00:00"/>
        <d v="2024-12-03T00:00:00"/>
        <d v="2024-12-09T00:00:00"/>
        <d v="2024-12-11T00:00:00"/>
        <d v="2024-12-16T00:00:00"/>
        <d v="2024-12-17T00:00:00"/>
        <d v="2024-12-18T00:00:00"/>
        <d v="2024-12-20T00:00:00"/>
        <d v="2024-12-23T00:00:00"/>
        <d v="2024-12-30T00:00:00"/>
        <d v="2024-12-31T00:00:00"/>
        <d v="2025-01-06T00:00:00"/>
        <d v="2025-01-08T00:00:00"/>
        <d v="2025-01-13T00:00:00"/>
        <d v="2025-01-14T00:00:00"/>
        <d v="2025-01-16T00:00:00"/>
        <d v="2025-01-20T00:00:00"/>
        <d v="2025-01-21T00:00:00"/>
        <d v="2025-01-22T00:00:00"/>
        <d v="2025-01-25T00:00:00"/>
        <d v="2025-01-31T00:00:00"/>
        <d v="2025-02-02T00:00:00"/>
        <d v="2025-02-04T00:00:00"/>
        <d v="2025-02-05T00:00:00"/>
        <d v="2025-02-11T00:00:00"/>
        <d v="2025-02-14T00:00:00"/>
        <d v="2025-02-16T00:00:00"/>
        <d v="2025-02-17T00:00:00"/>
        <d v="2025-02-24T00:00:00"/>
        <d v="2025-02-27T00:00:00"/>
        <d v="2025-02-28T00:00:00"/>
        <d v="2025-03-01T00:00:00"/>
        <d v="2025-03-10T00:00:00"/>
        <d v="2025-03-15T00:00:00"/>
        <d v="2025-03-16T00:00:00"/>
        <d v="2025-03-21T00:00:00"/>
        <d v="2025-03-23T00:00:00"/>
        <d v="2025-03-31T00:00:00"/>
        <d v="2025-04-01T00:00:00"/>
        <d v="2025-04-08T00:00:00"/>
        <d v="2025-04-13T00:00:00"/>
        <d v="2025-04-16T00:00:00"/>
        <d v="2025-04-22T00:00:00"/>
        <d v="2025-04-29T00:00:00"/>
        <d v="2025-04-30T00:00:00"/>
        <d v="2025-05-03T00:00:00"/>
        <d v="2025-05-05T00:00:00"/>
        <d v="2025-05-08T00:00:00"/>
        <d v="2025-05-09T00:00:00"/>
        <d v="2025-05-12T00:00:00"/>
        <d v="2025-05-16T00:00:00"/>
        <d v="2025-05-19T00:00:00"/>
        <d v="2025-05-22T00:00:00"/>
        <d v="2025-05-27T00:00:00"/>
        <d v="2025-05-31T00:00:00"/>
        <d v="2025-06-10T00:00:00"/>
        <d v="2025-06-16T00:00:00"/>
        <d v="2025-06-21T00:00:00"/>
        <d v="2025-06-23T00:00:00"/>
        <d v="2025-06-24T00:00:00"/>
        <d v="2025-06-30T00:00:00"/>
        <d v="2025-07-01T00:00:00"/>
        <d v="2025-07-08T00:00:00"/>
        <d v="2025-07-12T00:00:00"/>
        <d v="2025-07-15T00:00:00"/>
        <d v="2025-07-16T00:00:00"/>
        <d v="2025-07-22T00:00:00"/>
        <d v="2025-07-23T00:00:00"/>
        <d v="2025-07-24T00:00:00"/>
        <d v="2025-07-28T00:00:00"/>
        <d v="2025-07-29T00:00:00"/>
        <d v="2025-07-31T00:00:00"/>
        <d v="2025-08-07T00:00:00"/>
        <d v="2025-08-09T00:00:00"/>
        <d v="2025-08-14T00:00:00"/>
        <d v="2025-08-15T00:00:00"/>
        <d v="2025-08-18T00:00:00"/>
        <d v="2025-08-19T00:00:00"/>
        <d v="2025-08-27T00:00:00"/>
        <d v="2025-08-30T00:00:00"/>
        <d v="2025-08-31T00:00:00"/>
        <d v="2025-09-03T00:00:00"/>
        <d v="2025-09-05T00:00:00"/>
        <d v="2025-09-09T00:00:00"/>
        <d v="2025-09-11T00:00:00"/>
        <d v="2025-09-15T00:00:00"/>
        <d v="2025-09-18T00:00:00"/>
        <d v="2025-09-23T00:00:00"/>
        <d v="2025-09-24T00:00:00"/>
        <d v="2025-09-30T00:00:00"/>
        <d v="2025-10-07T00:00:00"/>
        <d v="2025-10-13T00:00:00"/>
        <d v="2025-10-14T00:00:00"/>
        <d v="2025-10-16T00:00:00"/>
        <d v="2025-10-17T00:00:00"/>
        <d v="2025-10-20T00:00:00"/>
        <d v="2025-10-21T00:00:00"/>
        <d v="2025-10-28T00:00:00"/>
        <d v="2025-10-31T00:00:00"/>
        <d v="2025-11-03T00:00:00"/>
        <d v="2025-11-04T00:00:00"/>
        <d v="2025-11-05T00:00:00"/>
        <d v="2025-11-07T00:00:00"/>
        <d v="2025-11-08T00:00:00"/>
        <d v="2025-11-13T00:00:00"/>
        <d v="2025-11-14T00:00:00"/>
        <d v="2025-11-17T00:00:00"/>
        <d v="2025-11-21T00:00:00"/>
        <d v="2025-11-22T00:00:00"/>
        <d v="2025-11-25T00:00:00"/>
        <d v="2025-11-28T00:00:00"/>
        <d v="2025-11-30T00:00:00"/>
        <m/>
        <d v="2025-07-17T00:00:00" u="1"/>
        <d v="2025-07-26T00:00:00" u="1"/>
        <d v="2025-07-30T00:00:00" u="1"/>
      </sharedItems>
      <fieldGroup par="9"/>
    </cacheField>
    <cacheField name="Concepto" numFmtId="0">
      <sharedItems containsBlank="1"/>
    </cacheField>
    <cacheField name="Socio" numFmtId="0">
      <sharedItems containsBlank="1" count="7">
        <s v="Antonio Razo"/>
        <s v="Marco Delgado"/>
        <s v="Hugo Vazquez"/>
        <s v="Escuela"/>
        <m/>
        <s v="Symbiot" u="1"/>
        <s v="Hugo Vazquez " u="1"/>
      </sharedItems>
    </cacheField>
    <cacheField name="Forma de Pago" numFmtId="0">
      <sharedItems containsBlank="1" count="7">
        <s v="TDC"/>
        <s v="Transferencia"/>
        <s v="Efectivo"/>
        <s v="TPV"/>
        <s v="Mercado Pago"/>
        <s v="Symbiot"/>
        <m/>
      </sharedItems>
    </cacheField>
    <cacheField name="Cantidad" numFmtId="0">
      <sharedItems containsString="0" containsBlank="1" containsNumber="1" containsInteger="1" minValue="1" maxValue="16"/>
    </cacheField>
    <cacheField name="Precio x unidad" numFmtId="165">
      <sharedItems containsString="0" containsBlank="1" containsNumber="1" minValue="-20000" maxValue="30000"/>
    </cacheField>
    <cacheField name="Total" numFmtId="165">
      <sharedItems containsSemiMixedTypes="0" containsString="0" containsNumber="1" minValue="-20000" maxValue="30000"/>
    </cacheField>
    <cacheField name="Months (Fecha)" numFmtId="0" databaseField="0">
      <fieldGroup base="0">
        <rangePr groupBy="months" startDate="2023-03-31T00:00:00" endDate="2025-12-01T00:00:00"/>
        <groupItems count="14">
          <s v="&lt;31/03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2/2025"/>
        </groupItems>
      </fieldGroup>
    </cacheField>
    <cacheField name="Quarters (Fecha)" numFmtId="0" databaseField="0">
      <fieldGroup base="0">
        <rangePr groupBy="quarters" startDate="2023-03-31T00:00:00" endDate="2025-12-01T00:00:00"/>
        <groupItems count="6">
          <s v="&lt;31/03/2023"/>
          <s v="Trim.1"/>
          <s v="Trim.2"/>
          <s v="Trim.3"/>
          <s v="Trim.4"/>
          <s v="&gt;01/12/2025"/>
        </groupItems>
      </fieldGroup>
    </cacheField>
    <cacheField name="Years (Fecha)" numFmtId="0" databaseField="0">
      <fieldGroup base="0">
        <rangePr groupBy="years" startDate="2023-03-31T00:00:00" endDate="2025-12-01T00:00:00"/>
        <groupItems count="5">
          <s v="&lt;31/03/2023"/>
          <s v="2023"/>
          <s v="2024"/>
          <s v="2025"/>
          <s v="&gt;01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n v="88"/>
    <s v="Abril Torres Jimenez"/>
    <n v="17"/>
    <x v="0"/>
    <d v="2025-06-27T00:00:00"/>
    <d v="2025-07-27T00:00:00"/>
    <s v="Inscripción $0.00"/>
    <x v="0"/>
    <x v="0"/>
    <s v="17:00 a 18:00 Vie"/>
    <s v="TPV"/>
    <s v="Mercedes Alejandra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1350"/>
    <n v="0"/>
    <n v="6525"/>
    <m/>
  </r>
  <r>
    <n v="26"/>
    <s v="Aidan Crosby Lobo"/>
    <n v="11"/>
    <x v="1"/>
    <d v="2024-06-04T00:00:00"/>
    <d v="2024-07-04T00:00:00"/>
    <s v="Inscripción $0.00"/>
    <x v="0"/>
    <x v="0"/>
    <s v="19:00 a 20:00 Mar"/>
    <s v="TPV"/>
    <s v="Blanca Donaji Lobo"/>
    <n v="1"/>
    <n v="1350"/>
    <s v="Si"/>
    <x v="1"/>
    <s v="Baterí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4300"/>
    <m/>
  </r>
  <r>
    <n v="87"/>
    <s v="Aileen Muñoa"/>
    <n v="11"/>
    <x v="2"/>
    <d v="2025-06-27T00:00:00"/>
    <d v="2025-07-27T00:00:00"/>
    <s v="Inscripción $0.00"/>
    <x v="1"/>
    <x v="0"/>
    <s v="17:00 a 18:00 Vie"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n v="0"/>
    <n v="0"/>
    <m/>
    <n v="3825"/>
    <s v="Paga 1350 por baja de Abril"/>
  </r>
  <r>
    <n v="93"/>
    <s v="Aisee Nuñez Lopez"/>
    <n v="28"/>
    <x v="2"/>
    <d v="2025-07-12T00:00:00"/>
    <d v="2025-08-12T00:00:00"/>
    <s v="Inscripción $0.00"/>
    <x v="1"/>
    <x v="0"/>
    <s v="12:00 a 13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7"/>
    <s v="Alan Mateo Gomez Juarez"/>
    <n v="12"/>
    <x v="2"/>
    <d v="2023-09-09T00:00:00"/>
    <d v="2023-10-09T00:00:00"/>
    <s v="Inscripción $0.00"/>
    <x v="1"/>
    <x v="1"/>
    <s v="13:00 a 14:00 Sab"/>
    <s v="TPV"/>
    <s v="Martha Patricia Juarez"/>
    <n v="1"/>
    <n v="1900"/>
    <s v="Si"/>
    <x v="1"/>
    <s v="Guitarra I"/>
    <n v="0"/>
    <n v="0"/>
    <n v="1900"/>
    <n v="2000"/>
    <n v="2000"/>
    <n v="2000"/>
    <n v="2000"/>
    <n v="2000"/>
    <n v="2000"/>
    <n v="2000"/>
    <n v="2000"/>
    <n v="2000"/>
    <n v="2000"/>
    <n v="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m/>
    <n v="49100"/>
    <m/>
  </r>
  <r>
    <n v="2"/>
    <s v="Alejandro Navarro Baltazar"/>
    <n v="36"/>
    <x v="3"/>
    <d v="2023-08-02T00:00:00"/>
    <d v="2023-09-02T00:00:00"/>
    <s v="Inscripción $0.00"/>
    <x v="1"/>
    <x v="0"/>
    <s v="17:00 a 18:00 Mie"/>
    <s v="Efectivo"/>
    <m/>
    <n v="1"/>
    <n v="1500"/>
    <m/>
    <x v="0"/>
    <s v="Guitarra G"/>
    <n v="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0"/>
    <m/>
  </r>
  <r>
    <n v="94"/>
    <s v="Alejandro Paris Hernandez Suarez"/>
    <n v="36"/>
    <x v="3"/>
    <d v="2025-07-21T00:00:00"/>
    <d v="2025-08-21T00:00:00"/>
    <s v="Inscripción $0.00"/>
    <x v="1"/>
    <x v="0"/>
    <s v="19:00 a 20:00 Lun"/>
    <s v="TPV"/>
    <s v="Transferen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33"/>
    <s v="Alejandro Quijano"/>
    <n v="35"/>
    <x v="4"/>
    <d v="2024-08-28T00:00:00"/>
    <d v="2024-09-28T00:00:00"/>
    <s v="Inscripción $0.00"/>
    <x v="2"/>
    <x v="0"/>
    <s v="18:00 a 19:00 Lun"/>
    <s v="TPV"/>
    <s v="Alejandro Quijan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0"/>
    <n v="0"/>
    <n v="0"/>
    <n v="0"/>
    <n v="0"/>
    <n v="4050"/>
    <m/>
  </r>
  <r>
    <n v="38"/>
    <s v="Alexis Cordova"/>
    <n v="39"/>
    <x v="5"/>
    <d v="2024-09-13T00:00:00"/>
    <d v="2024-09-10T00:00:00"/>
    <s v="Inscripción $0.00"/>
    <x v="3"/>
    <x v="0"/>
    <s v="17:00 a 18:00 Mie"/>
    <s v="TPV"/>
    <s v="Alexis Cordova"/>
    <n v="1"/>
    <n v="1350"/>
    <s v="Si"/>
    <x v="1"/>
    <s v="Bajo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17"/>
    <s v="Alondra Cecilia Morales Alvarez"/>
    <n v="15"/>
    <x v="3"/>
    <d v="2024-03-15T00:00:00"/>
    <d v="2024-04-15T00:00:00"/>
    <s v="Inscripción $0.00"/>
    <x v="1"/>
    <x v="0"/>
    <s v="19:00 a 20:00 Vie"/>
    <s v="TPV"/>
    <s v="Alejandro Morales"/>
    <n v="1"/>
    <n v="1350"/>
    <s v="Si"/>
    <x v="0"/>
    <s v="Guitarra G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17550"/>
    <m/>
  </r>
  <r>
    <n v="71"/>
    <s v="Andrés Daza Flores"/>
    <n v="13"/>
    <x v="2"/>
    <d v="2025-05-15T00:00:00"/>
    <d v="2025-06-15T00:00:00"/>
    <s v="Inscripción $0.00"/>
    <x v="1"/>
    <x v="0"/>
    <s v="16:00 a 17:00 Vie"/>
    <s v="Efectivo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9450"/>
    <s v="vierne"/>
  </r>
  <r>
    <n v="56"/>
    <s v="Arath Martinez Gomez"/>
    <n v="9"/>
    <x v="0"/>
    <d v="2024-12-20T00:00:00"/>
    <d v="2025-01-20T00:00:00"/>
    <s v="Inscripción $0.00"/>
    <x v="0"/>
    <x v="0"/>
    <s v="16:00 a 17:00 Vie"/>
    <s v="TPV"/>
    <s v="Martha Berenice Gomez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0"/>
    <n v="16200"/>
    <m/>
  </r>
  <r>
    <n v="42"/>
    <s v="Ares Maximiliano Gonzalez"/>
    <n v="7"/>
    <x v="0"/>
    <d v="2024-10-02T00:00:00"/>
    <d v="2024-11-02T00:00:00"/>
    <s v="Inscripción $0.00"/>
    <x v="0"/>
    <x v="0"/>
    <s v="17:00 a 18:00 Vie"/>
    <s v="TPV"/>
    <s v="Mymasociados"/>
    <n v="1"/>
    <n v="1275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00"/>
    <s v="Arianne Nahomy Rodriguez Grajeda"/>
    <n v="17"/>
    <x v="4"/>
    <d v="2025-08-04T00:00:00"/>
    <d v="2025-09-04T00:00:00"/>
    <s v="Inscripción $0.00"/>
    <x v="2"/>
    <x v="0"/>
    <s v="18:00 a 19:00 Lun y Vie "/>
    <s v="TPV"/>
    <m/>
    <n v="2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m/>
    <n v="10200"/>
    <m/>
  </r>
  <r>
    <n v="24"/>
    <s v="Axel Adrian Hernandez Martinez"/>
    <n v="12"/>
    <x v="3"/>
    <d v="2024-05-31T00:00:00"/>
    <d v="2024-06-30T00:00:00"/>
    <s v="Inscripción $0.00"/>
    <x v="1"/>
    <x v="0"/>
    <s v="15:00 a 16:00 Sab"/>
    <s v="TPV"/>
    <s v="Armando Hernandez"/>
    <n v="1"/>
    <n v="1350"/>
    <s v="Si"/>
    <x v="1"/>
    <s v="Guitarra G"/>
    <n v="0"/>
    <n v="0"/>
    <n v="0"/>
    <n v="0"/>
    <n v="0"/>
    <n v="0"/>
    <n v="0"/>
    <n v="0"/>
    <n v="0"/>
    <n v="0"/>
    <n v="1350"/>
    <n v="1350"/>
    <n v="1350"/>
    <n v="1350"/>
    <n v="1350"/>
    <n v="1275"/>
    <n v="1275"/>
    <n v="1275"/>
    <n v="1275"/>
    <n v="1275"/>
    <n v="1275"/>
    <n v="1350"/>
    <n v="1350"/>
    <n v="1350"/>
    <n v="1350"/>
    <n v="1350"/>
    <n v="1350"/>
    <n v="1350"/>
    <n v="1350"/>
    <m/>
    <n v="25200"/>
    <s v="Lunes, se hace cargo el 31"/>
  </r>
  <r>
    <n v="76"/>
    <s v="Axel Emiliano Rojas Aviles"/>
    <n v="13"/>
    <x v="0"/>
    <d v="2025-05-30T00:00:00"/>
    <d v="2025-06-30T00:00:00"/>
    <s v="Inscripción $0.00"/>
    <x v="0"/>
    <x v="0"/>
    <s v="18:00 a 19:00 Jue"/>
    <s v="TPV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0"/>
    <m/>
    <n v="5100"/>
    <m/>
  </r>
  <r>
    <n v="95"/>
    <s v="Ayin Michelle Peña Gonzalez"/>
    <m/>
    <x v="6"/>
    <d v="2025-07-23T00:00:00"/>
    <d v="2025-07-23T00:00:00"/>
    <s v="Inscripción $0.00"/>
    <x v="4"/>
    <x v="0"/>
    <s v="17:00 a 18:00 Mie"/>
    <s v="Efectivo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11"/>
    <s v="Brenda Serrano Cervantes"/>
    <n v="26"/>
    <x v="5"/>
    <d v="2023-09-30T00:00:00"/>
    <d v="2023-10-30T00:00:00"/>
    <s v="Inscripción $0.00"/>
    <x v="3"/>
    <x v="0"/>
    <s v="18:00 a 19:00 Jue"/>
    <s v="Transferencia"/>
    <m/>
    <n v="1"/>
    <n v="1500"/>
    <m/>
    <x v="0"/>
    <s v="Bajo G"/>
    <n v="0"/>
    <n v="0"/>
    <n v="1500"/>
    <n v="1500"/>
    <n v="1500"/>
    <n v="150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500"/>
    <m/>
  </r>
  <r>
    <n v="61"/>
    <s v="Carlos Alejandro Maya Rodriguez"/>
    <n v="30"/>
    <x v="6"/>
    <d v="2025-01-29T00:00:00"/>
    <d v="2025-02-27T00:00:00"/>
    <s v="Inscripción $0.00"/>
    <x v="4"/>
    <x v="0"/>
    <s v="18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0"/>
    <n v="0"/>
    <n v="1275"/>
    <n v="1275"/>
    <n v="0"/>
    <n v="20400"/>
    <s v="Baja Temporal"/>
  </r>
  <r>
    <n v="62"/>
    <s v="Carlos Alejandro Maya Rodriguez"/>
    <m/>
    <x v="7"/>
    <d v="2025-01-29T00:00:00"/>
    <d v="2025-02-27T00:00:00"/>
    <s v="Inscripción $0.00"/>
    <x v="2"/>
    <x v="0"/>
    <s v="18:00 a 19:00 Jue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m/>
    <n v="2550"/>
    <m/>
  </r>
  <r>
    <n v="53"/>
    <s v="Carlos Bennet"/>
    <n v="21"/>
    <x v="5"/>
    <d v="2024-12-02T00:00:00"/>
    <d v="2024-01-02T00:00:00"/>
    <s v="Inscripción $0.00"/>
    <x v="3"/>
    <x v="0"/>
    <s v="19:00 a 20:00 Lun"/>
    <s v="TPV"/>
    <s v="Carlos Bennet"/>
    <n v="1"/>
    <m/>
    <s v="No"/>
    <x v="0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2700"/>
    <m/>
  </r>
  <r>
    <n v="69"/>
    <s v="Cesar Augusto Ancona Tellez"/>
    <n v="19"/>
    <x v="2"/>
    <d v="2025-04-21T00:00:00"/>
    <d v="2025-04-21T00:00:00"/>
    <s v="Inscripción $0.00"/>
    <x v="1"/>
    <x v="0"/>
    <s v="16:00 a 17:00 Lun"/>
    <s v="TPV"/>
    <s v="HSBC 1816"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4050"/>
    <s v="Se reincorpora Agosto"/>
  </r>
  <r>
    <n v="83"/>
    <s v="Cristopher Eduardo Lopez Guzman"/>
    <n v="30"/>
    <x v="6"/>
    <d v="2025-06-21T00:00:00"/>
    <d v="2025-07-21T00:00:00"/>
    <s v="Inscripción $0.00"/>
    <x v="4"/>
    <x v="0"/>
    <s v="12:00 a 13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m/>
    <n v="8100"/>
    <s v="Efectivo 23-Jul"/>
  </r>
  <r>
    <n v="57"/>
    <s v="Cristopher Rafael Huerta Robledo"/>
    <n v="24"/>
    <x v="4"/>
    <d v="2025-01-07T00:00:00"/>
    <d v="2025-02-07T00:00:00"/>
    <s v="Inscripción $0.00"/>
    <x v="2"/>
    <x v="0"/>
    <s v="19:00 a 20:00 Ma"/>
    <s v="TPV"/>
    <s v="Cristopher Huerta"/>
    <m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4050"/>
    <m/>
  </r>
  <r>
    <n v="20"/>
    <s v="Daniel Alexander Hernandez Arce"/>
    <n v="10"/>
    <x v="3"/>
    <d v="2024-05-08T00:00:00"/>
    <d v="2024-06-08T00:00:00"/>
    <s v="Inscripción $0.00"/>
    <x v="1"/>
    <x v="0"/>
    <s v="18:00 a 19:00 Mie"/>
    <s v="TPV"/>
    <m/>
    <n v="1"/>
    <n v="1200"/>
    <m/>
    <x v="0"/>
    <s v="Guitarr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1"/>
    <s v="Daniel Alexander Hernandez Arce"/>
    <n v="10"/>
    <x v="4"/>
    <d v="2024-05-08T00:00:00"/>
    <d v="2024-06-08T00:00:00"/>
    <s v="Inscripción $0.00"/>
    <x v="2"/>
    <x v="0"/>
    <s v="15:00 a 16:00 Ma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97"/>
    <s v="Daniel Yamir Quiroz Dias"/>
    <n v="8"/>
    <x v="0"/>
    <d v="2025-07-28T00:00:00"/>
    <d v="2025-08-28T00:00:00"/>
    <s v="Inscripción $0.00"/>
    <x v="0"/>
    <x v="0"/>
    <s v="13:00 a 14:00 Sab"/>
    <s v="Transferencia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68"/>
    <s v="David Alejandro Allende Avila"/>
    <n v="49"/>
    <x v="6"/>
    <d v="2025-03-28T00:00:00"/>
    <d v="2025-04-28T00:00:00"/>
    <s v="Inscripción $0.00"/>
    <x v="4"/>
    <x v="0"/>
    <s v="19:00 a 20:00 Jue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0"/>
    <n v="0"/>
    <n v="0"/>
    <n v="0"/>
    <n v="0"/>
    <n v="6750"/>
    <s v="Baja Temporal"/>
  </r>
  <r>
    <n v="65"/>
    <s v="Diego Alonso Grajeda"/>
    <n v="12"/>
    <x v="1"/>
    <d v="2025-03-19T00:00:00"/>
    <d v="2025-04-19T00:00:00"/>
    <s v="Inscripción $0.00"/>
    <x v="0"/>
    <x v="0"/>
    <s v="18:00 a 19:00 Lun y Mie 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2550"/>
    <n v="2550"/>
    <m/>
    <n v="22950"/>
    <m/>
  </r>
  <r>
    <n v="102"/>
    <s v="Diego Yael Cano Soto"/>
    <n v="17"/>
    <x v="2"/>
    <d v="2025-09-02T00:00:00"/>
    <d v="2025-10-02T00:00:00"/>
    <s v="Inscripción $0.00"/>
    <x v="1"/>
    <x v="0"/>
    <s v="17:00 a 18:00 Lun y 16:00 a 17:00 Mar"/>
    <m/>
    <m/>
    <n v="2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45"/>
    <s v="Dulce Yael Tarrios"/>
    <n v="23"/>
    <x v="6"/>
    <d v="2024-10-05T00:00:00"/>
    <d v="2024-11-05T00:00:00"/>
    <s v="Inscripción $0.00"/>
    <x v="4"/>
    <x v="0"/>
    <s v="15:00 a 16:00 Sab"/>
    <s v="TPV"/>
    <s v="Dulce Yael Tarrios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0"/>
    <n v="1350"/>
    <m/>
  </r>
  <r>
    <n v="41"/>
    <s v="Edgar Javier Chavez Reyes"/>
    <n v="45"/>
    <x v="3"/>
    <d v="2024-09-29T00:00:00"/>
    <d v="2024-10-29T00:00:00"/>
    <s v="Inscripción $0.00"/>
    <x v="1"/>
    <x v="0"/>
    <s v="19:00 a 20:00 Lun"/>
    <s v="TPV"/>
    <s v="Edgar Chave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5400"/>
    <m/>
  </r>
  <r>
    <n v="84"/>
    <s v="Edwin Kevin Salazar Saenz"/>
    <n v="31"/>
    <x v="2"/>
    <d v="2025-06-23T00:00:00"/>
    <d v="2025-07-23T00:00:00"/>
    <s v="Inscripción $0.00"/>
    <x v="1"/>
    <x v="0"/>
    <s v="16:00 a 17:00 Mie "/>
    <s v="Efectivo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m/>
    <n v="5400"/>
    <s v="Efectivo"/>
  </r>
  <r>
    <n v="63"/>
    <s v="Eitan Peña Gonzalez"/>
    <n v="15"/>
    <x v="2"/>
    <d v="2025-02-15T00:00:00"/>
    <d v="2025-03-15T00:00:00"/>
    <s v="Inscripción $0.00"/>
    <x v="1"/>
    <x v="0"/>
    <s v="12:00 a 13:00 Sab"/>
    <s v="Transferencia"/>
    <s v="Gabriela Gonzalez Casillas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m/>
    <n v="12150"/>
    <s v="Gabriela Gonzalez"/>
  </r>
  <r>
    <n v="54"/>
    <s v="Elian Matias Ayala Vaca"/>
    <n v="10"/>
    <x v="2"/>
    <d v="2024-12-10T00:00:00"/>
    <d v="2025-01-26T00:00:00"/>
    <s v="Inscripción $0.00"/>
    <x v="1"/>
    <x v="0"/>
    <s v="19:00 a 20:00 Mie"/>
    <s v="Transferencia"/>
    <s v="Lourdes Vaca"/>
    <n v="1"/>
    <m/>
    <s v="Si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s v="Pago 10-Sep Sept y Oct"/>
  </r>
  <r>
    <n v="105"/>
    <s v="Emilia Delgado"/>
    <n v="5"/>
    <x v="7"/>
    <d v="2025-09-12T00:00:00"/>
    <d v="2025-10-12T00:00:00"/>
    <s v="Inscripción $0.00"/>
    <x v="2"/>
    <x v="0"/>
    <s v="17:00 a 18:00 Vie"/>
    <s v="TPV"/>
    <m/>
    <m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75"/>
    <m/>
    <n v="4075"/>
    <m/>
  </r>
  <r>
    <n v="103"/>
    <s v="Emiliano Alberto Cano Soto"/>
    <n v="15"/>
    <x v="1"/>
    <d v="2025-09-02T00:00:00"/>
    <d v="2025-10-02T00:00:00"/>
    <s v="Inscripción $0.00"/>
    <x v="0"/>
    <x v="0"/>
    <s v="17:00 a 18:00 Lun y 16:00 a 17:00 Mar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9"/>
    <s v="Enrique Alexander Roldan Lopez"/>
    <n v="16"/>
    <x v="3"/>
    <d v="2023-09-27T00:00:00"/>
    <d v="2023-10-27T00:00:00"/>
    <s v="Inscripción $0.00"/>
    <x v="1"/>
    <x v="0"/>
    <s v="17:00 a 18:00 Mie"/>
    <s v="Transferencia"/>
    <m/>
    <n v="1"/>
    <n v="1350"/>
    <s v="Si"/>
    <x v="0"/>
    <s v="Guitarra G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0"/>
    <m/>
  </r>
  <r>
    <n v="10"/>
    <s v="Enrique Alexander Roldan Lopez"/>
    <n v="16"/>
    <x v="1"/>
    <d v="2023-09-27T00:00:00"/>
    <d v="2023-10-27T00:00:00"/>
    <s v="Inscripción $0.00"/>
    <x v="0"/>
    <x v="0"/>
    <s v="19:00 a 20:00 Mar"/>
    <s v="TPV"/>
    <m/>
    <n v="1"/>
    <n v="1350"/>
    <s v="Si"/>
    <x v="0"/>
    <s v="Batería G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00"/>
    <m/>
  </r>
  <r>
    <n v="27"/>
    <s v="Erik Alcantara Trejo"/>
    <n v="22"/>
    <x v="3"/>
    <d v="2024-06-10T00:00:00"/>
    <d v="2024-07-10T00:00:00"/>
    <s v="Inscripción $0.00"/>
    <x v="1"/>
    <x v="0"/>
    <s v="15:00 a 16:00 Sab"/>
    <s v="TPV"/>
    <s v="Erik Alcantar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8100"/>
    <m/>
  </r>
  <r>
    <n v="92"/>
    <s v="Fabricio Tello Hernandez"/>
    <m/>
    <x v="6"/>
    <d v="2025-07-05T00:00:00"/>
    <d v="2025-08-05T00:00:00"/>
    <s v="Inscripción $0.00"/>
    <x v="4"/>
    <x v="0"/>
    <s v="11:00 a 12:00 Sab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8"/>
    <s v="Fanny Ieraldini Guitierrez Jasso"/>
    <n v="32"/>
    <x v="1"/>
    <d v="2023-09-17T00:00:00"/>
    <d v="2025-04-17T00:00:00"/>
    <s v="Inscripción $0.00"/>
    <x v="0"/>
    <x v="0"/>
    <s v="17:00 a 18:00 Mar"/>
    <s v="Transferencia"/>
    <s v="kyfageraldinnatha"/>
    <n v="1"/>
    <n v="1500"/>
    <s v="Si"/>
    <x v="1"/>
    <s v="Batería G"/>
    <n v="0"/>
    <n v="0"/>
    <n v="1500"/>
    <n v="1500"/>
    <n v="0"/>
    <n v="1500"/>
    <n v="1500"/>
    <n v="1500"/>
    <n v="1500"/>
    <n v="1500"/>
    <n v="1500"/>
    <n v="1500"/>
    <n v="135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29700"/>
    <m/>
  </r>
  <r>
    <n v="72"/>
    <s v="Felix Santamaría Peña"/>
    <n v="34"/>
    <x v="1"/>
    <d v="2025-05-17T00:00:00"/>
    <d v="2025-06-17T00:00:00"/>
    <s v="Inscripción $0.00"/>
    <x v="0"/>
    <x v="0"/>
    <s v="11:00 a 12:00 Sab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s v="Efectivo 18-Oct"/>
  </r>
  <r>
    <n v="106"/>
    <s v="Frida Valentina Vazquez Sanchez"/>
    <n v="9"/>
    <x v="7"/>
    <d v="2025-09-30T00:00:00"/>
    <d v="2025-10-30T00:00:00"/>
    <s v="Inscripción $0.00"/>
    <x v="2"/>
    <x v="0"/>
    <s v="18:00 a 19:00 Mar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67"/>
    <s v="Gerardo Alexis Ayala Castillo"/>
    <m/>
    <x v="2"/>
    <d v="2025-03-26T00:00:00"/>
    <d v="2025-04-26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75"/>
    <n v="1275"/>
    <n v="0"/>
    <n v="0"/>
    <n v="0"/>
    <n v="0"/>
    <n v="0"/>
    <n v="0"/>
    <n v="3750"/>
    <m/>
  </r>
  <r>
    <n v="74"/>
    <s v="Gerardo Tadeo Yépez Padilla"/>
    <n v="7"/>
    <x v="1"/>
    <d v="2025-05-20T00:00:00"/>
    <d v="2025-06-20T00:00:00"/>
    <s v="Inscripción $0.00"/>
    <x v="0"/>
    <x v="0"/>
    <s v="16:00 a 17:00 Mi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12"/>
    <s v="Guadalupe Donaji Arellano Ramirez"/>
    <n v="15"/>
    <x v="3"/>
    <d v="2023-10-20T00:00:00"/>
    <d v="2023-11-20T00:00:00"/>
    <s v="Inscripción $0.00"/>
    <x v="1"/>
    <x v="0"/>
    <s v="15:00 a 16:00 Sab"/>
    <s v="TPV"/>
    <s v="Veronica Ramirez"/>
    <n v="1"/>
    <n v="1350"/>
    <s v="Si"/>
    <x v="1"/>
    <s v="Guitarra G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275"/>
    <n v="1275"/>
    <n v="1275"/>
    <n v="1275"/>
    <n v="1275"/>
    <n v="1275"/>
    <m/>
    <n v="34650"/>
    <m/>
  </r>
  <r>
    <n v="16"/>
    <s v="Guadalupe Rebeca Juarez Vergara"/>
    <n v="40"/>
    <x v="1"/>
    <d v="2024-03-04T00:00:00"/>
    <d v="2024-04-04T00:00:00"/>
    <s v="Inscripción $0.00"/>
    <x v="0"/>
    <x v="1"/>
    <s v="19:00 a 20:00 Lun"/>
    <s v="TPV"/>
    <s v="Martha Patricia Juarez"/>
    <n v="1"/>
    <n v="2000"/>
    <s v="Si"/>
    <x v="1"/>
    <s v="Batería I"/>
    <n v="0"/>
    <n v="0"/>
    <n v="0"/>
    <n v="0"/>
    <n v="0"/>
    <n v="0"/>
    <n v="0"/>
    <n v="0"/>
    <n v="2000"/>
    <n v="2000"/>
    <n v="2000"/>
    <n v="2000"/>
    <n v="200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n v="1800"/>
    <m/>
    <n v="39000"/>
    <m/>
  </r>
  <r>
    <n v="1"/>
    <s v="Gwyneth Adriana Tagliabue Cruz"/>
    <n v="15"/>
    <x v="3"/>
    <d v="2023-08-01T00:00:00"/>
    <d v="2023-09-01T00:00:00"/>
    <s v="Inscripción $0.00"/>
    <x v="1"/>
    <x v="0"/>
    <s v="19:00 a 20:00 Vie"/>
    <s v="TPV"/>
    <m/>
    <n v="1"/>
    <n v="1500"/>
    <m/>
    <x v="0"/>
    <s v="Guitarra G"/>
    <n v="0"/>
    <n v="150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0"/>
    <m/>
  </r>
  <r>
    <n v="80"/>
    <s v="Iktan Nezzo Buendía Ramírez "/>
    <n v="14"/>
    <x v="2"/>
    <d v="2025-06-04T00:00:00"/>
    <d v="2025-06-07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1350"/>
    <s v="Vacaciones"/>
  </r>
  <r>
    <n v="64"/>
    <s v="Irving Omar Pacheco Flores"/>
    <n v="27"/>
    <x v="2"/>
    <d v="2025-03-04T00:00:00"/>
    <d v="2025-04-04T00:00:00"/>
    <s v="Inscripción $0.00"/>
    <x v="1"/>
    <x v="0"/>
    <s v="19:00 a 20:00 Jue"/>
    <s v="Efectivo"/>
    <m/>
    <m/>
    <m/>
    <m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1350"/>
    <m/>
  </r>
  <r>
    <n v="14"/>
    <s v="Isabel Ramos"/>
    <n v="59"/>
    <x v="3"/>
    <d v="2023-11-11T00:00:00"/>
    <d v="2023-12-11T00:00:00"/>
    <s v="Inscripción $0.00"/>
    <x v="1"/>
    <x v="0"/>
    <s v="20:00 a 21:00 Ma"/>
    <s v="Transferencia"/>
    <m/>
    <n v="1"/>
    <n v="1500"/>
    <m/>
    <x v="0"/>
    <s v="Guitarra G"/>
    <n v="0"/>
    <n v="0"/>
    <n v="0"/>
    <n v="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00"/>
    <m/>
  </r>
  <r>
    <n v="73"/>
    <s v="Itzel Ameyalli Lechuga Valero"/>
    <n v="28"/>
    <x v="6"/>
    <d v="2025-05-17T00:00:00"/>
    <d v="2025-06-17T00:00:00"/>
    <s v="Inscripción $0.00"/>
    <x v="4"/>
    <x v="0"/>
    <s v="17:00 a 18:00 Lun"/>
    <s v="TPV"/>
    <m/>
    <n v="1"/>
    <m/>
    <s v="Si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39"/>
    <s v="Ivan Eidan Espinosa"/>
    <n v="42"/>
    <x v="3"/>
    <d v="2024-09-27T00:00:00"/>
    <d v="2024-10-27T00:00:00"/>
    <s v="Inscripción $0.00"/>
    <x v="1"/>
    <x v="0"/>
    <s v="16:00 a 17:00 Mi"/>
    <s v="TPV"/>
    <s v="Ivan Eidan Espinosa"/>
    <n v="1"/>
    <n v="1125"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40"/>
    <s v="Ivan Eidan Espinosa"/>
    <n v="42"/>
    <x v="6"/>
    <d v="2024-09-27T00:00:00"/>
    <d v="2024-10-27T00:00:00"/>
    <s v="Inscripción $0.00"/>
    <x v="4"/>
    <x v="0"/>
    <s v="14:00 a 15:00 Sa"/>
    <s v="TPV"/>
    <s v="Ivan Eidan Espinosa"/>
    <n v="1"/>
    <n v="1125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13"/>
    <s v="Joaquin Pimentel"/>
    <n v="70"/>
    <x v="3"/>
    <d v="2023-10-30T00:00:00"/>
    <d v="2023-11-30T00:00:00"/>
    <s v="Inscripción $0.00"/>
    <x v="1"/>
    <x v="0"/>
    <s v="17:00 a 18:00 Mi"/>
    <s v="TPV"/>
    <m/>
    <n v="1"/>
    <n v="1275"/>
    <s v="Si"/>
    <x v="0"/>
    <s v="Guitarra G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</r>
  <r>
    <n v="48"/>
    <s v="Jorge Armando Hernandez"/>
    <n v="39"/>
    <x v="1"/>
    <d v="2024-10-07T00:00:00"/>
    <d v="2024-11-07T00:00:00"/>
    <s v="Inscripción $0.00"/>
    <x v="0"/>
    <x v="0"/>
    <s v="18:00 a 19:00 Lun"/>
    <s v="TPV"/>
    <s v="Armando Hernandez"/>
    <n v="1"/>
    <n v="1125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0"/>
    <n v="0"/>
    <n v="0"/>
    <n v="0"/>
    <n v="0"/>
    <n v="0"/>
    <n v="0"/>
    <n v="0"/>
    <n v="0"/>
    <n v="7650"/>
    <m/>
  </r>
  <r>
    <n v="6"/>
    <s v="Jose Fernando Campos Esparza"/>
    <n v="28"/>
    <x v="3"/>
    <d v="2023-09-08T00:00:00"/>
    <d v="2023-10-08T00:00:00"/>
    <s v="Inscripción $0.00"/>
    <x v="1"/>
    <x v="1"/>
    <s v="16:00 a 17:00 Vie"/>
    <s v="TPV"/>
    <m/>
    <n v="1"/>
    <n v="2000"/>
    <m/>
    <x v="0"/>
    <s v="Guitarra I"/>
    <n v="0"/>
    <n v="0"/>
    <n v="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m/>
  </r>
  <r>
    <n v="3"/>
    <s v="Jose Francisco Rangel Alonso"/>
    <n v="59"/>
    <x v="3"/>
    <d v="2023-08-25T00:00:00"/>
    <d v="2023-09-25T00:00:00"/>
    <s v="Inscripción $0.00"/>
    <x v="1"/>
    <x v="0"/>
    <s v="Baja"/>
    <s v="Efectivo"/>
    <m/>
    <n v="1"/>
    <n v="1000"/>
    <m/>
    <x v="0"/>
    <s v="Guitarra G"/>
    <n v="0"/>
    <n v="1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m/>
  </r>
  <r>
    <n v="90"/>
    <s v="Joshua Chanampa Villada"/>
    <n v="18"/>
    <x v="6"/>
    <d v="2025-07-02T00:00:00"/>
    <d v="2025-08-02T00:00:00"/>
    <s v="Inscripción $0.00"/>
    <x v="4"/>
    <x v="0"/>
    <s v="17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91"/>
    <s v="Joshua Chanampa Villada"/>
    <n v="18"/>
    <x v="2"/>
    <d v="2025-07-02T00:00:00"/>
    <d v="2025-08-02T00:00:00"/>
    <s v="Inscripción $0.00"/>
    <x v="1"/>
    <x v="0"/>
    <s v="17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108"/>
    <s v="Julissa Lopez Guevara"/>
    <n v="36"/>
    <x v="7"/>
    <d v="2025-10-03T00:00:00"/>
    <m/>
    <s v="Inscripción $0.00"/>
    <x v="2"/>
    <x v="0"/>
    <m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29"/>
    <s v="Leonardo Arturo Gomez Lopez"/>
    <n v="8"/>
    <x v="2"/>
    <d v="2024-07-05T00:00:00"/>
    <d v="2024-08-05T00:00:00"/>
    <s v="Inscripción $0.00"/>
    <x v="1"/>
    <x v="0"/>
    <s v="18:00 a 19:00 Mie"/>
    <s v="TPV"/>
    <s v="Miriam Lop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15"/>
    <s v="Leonardo Landa Sanchez"/>
    <n v="11"/>
    <x v="1"/>
    <d v="2024-01-09T00:00:00"/>
    <d v="2024-02-09T00:00:00"/>
    <s v="Inscripción $0.00"/>
    <x v="0"/>
    <x v="0"/>
    <s v="18:00 a 19:00 Mar"/>
    <s v="TPV"/>
    <s v="Orlando Landa"/>
    <n v="1"/>
    <n v="1350"/>
    <s v="Si"/>
    <x v="0"/>
    <s v="Batería G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14850"/>
    <m/>
  </r>
  <r>
    <n v="49"/>
    <s v="Leonardo Perez Gomez"/>
    <n v="14"/>
    <x v="1"/>
    <d v="2024-11-09T00:00:00"/>
    <d v="2024-12-09T00:00:00"/>
    <s v="Inscripción $0.00"/>
    <x v="0"/>
    <x v="0"/>
    <s v="11:00 a 12:00 Sab"/>
    <s v="TPV"/>
    <s v="Jose Angel Perez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9450"/>
    <s v="Efectivo 04-Jun"/>
  </r>
  <r>
    <n v="55"/>
    <s v="Leonardo Saul Ayala Vaca"/>
    <n v="10"/>
    <x v="1"/>
    <d v="2024-12-10T00:00:00"/>
    <d v="2025-01-26T00:00:00"/>
    <s v="Inscripción $0.00"/>
    <x v="0"/>
    <x v="0"/>
    <s v="19:00 a 20:00 Mie"/>
    <s v="Transferencia"/>
    <s v="Lourdes Vaca"/>
    <n v="1"/>
    <m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m/>
  </r>
  <r>
    <n v="22"/>
    <s v="Luciano Ariel Hernandez Arce"/>
    <n v="6"/>
    <x v="1"/>
    <d v="2024-05-08T00:00:00"/>
    <d v="2024-06-08T00:00:00"/>
    <s v="Inscripción $0.00"/>
    <x v="0"/>
    <x v="0"/>
    <s v="18:00 a 19:00 Mie"/>
    <s v="TPV"/>
    <m/>
    <n v="1"/>
    <n v="1200"/>
    <m/>
    <x v="0"/>
    <s v="Baterí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3"/>
    <s v="Luciano Ariel Hernandez Arce"/>
    <n v="6"/>
    <x v="4"/>
    <d v="2024-05-08T00:00:00"/>
    <d v="2024-06-08T00:00:00"/>
    <s v="Inscripción $0.00"/>
    <x v="2"/>
    <x v="0"/>
    <s v="15:00 a 16:00 Mar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44"/>
    <s v="Luciano Gastelum Crosby"/>
    <n v="11"/>
    <x v="1"/>
    <d v="2024-10-05T00:00:00"/>
    <d v="2024-11-05T00:00:00"/>
    <s v="Inscripción $0.00"/>
    <x v="0"/>
    <x v="0"/>
    <s v="17:00 a 18:00 Mar"/>
    <s v="TPV"/>
    <s v="Anaid Crosby"/>
    <n v="1"/>
    <n v="1350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m/>
    <n v="18900"/>
    <m/>
  </r>
  <r>
    <n v="37"/>
    <s v="Luis Alberto Guizar Garcia"/>
    <n v="40"/>
    <x v="6"/>
    <d v="2024-09-05T00:00:00"/>
    <d v="2025-10-05T00:00:00"/>
    <s v="Inscripción $0.00"/>
    <x v="4"/>
    <x v="0"/>
    <s v="13:00 a 14:00 Sab"/>
    <s v="TPV"/>
    <s v="Luis Alberto Guizar Garcia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14850"/>
    <m/>
  </r>
  <r>
    <n v="5"/>
    <s v="Luis Erik Arias Ayala"/>
    <n v="11"/>
    <x v="4"/>
    <d v="2023-09-01T00:00:00"/>
    <d v="2023-10-01T00:00:00"/>
    <s v="Inscripción $0.00"/>
    <x v="2"/>
    <x v="0"/>
    <s v="17:00 a 18:00 Lun y Vie"/>
    <s v="TPV"/>
    <m/>
    <n v="1"/>
    <n v="1500"/>
    <s v="No"/>
    <x v="0"/>
    <s v="Teclado G"/>
    <n v="0"/>
    <n v="0"/>
    <n v="2700"/>
    <n v="2700"/>
    <n v="2700"/>
    <n v="1500"/>
    <n v="1500"/>
    <n v="1500"/>
    <n v="1500"/>
    <n v="0"/>
    <n v="1500"/>
    <n v="0"/>
    <n v="2250"/>
    <n v="2250"/>
    <n v="1500"/>
    <n v="1500"/>
    <n v="1500"/>
    <n v="1500"/>
    <n v="1500"/>
    <n v="1500"/>
    <n v="1500"/>
    <n v="1500"/>
    <n v="1500"/>
    <n v="1500"/>
    <n v="1500"/>
    <n v="0"/>
    <n v="0"/>
    <n v="0"/>
    <n v="0"/>
    <n v="0"/>
    <n v="36600"/>
    <s v="Baja Definitiva"/>
  </r>
  <r>
    <n v="46"/>
    <s v="Luis Fernando Ferruzca Perez"/>
    <n v="5"/>
    <x v="1"/>
    <d v="2024-10-05T00:00:00"/>
    <d v="2025-04-08T00:00:00"/>
    <s v="Inscripción $0.00"/>
    <x v="0"/>
    <x v="0"/>
    <s v="19:00 a 20:00 Vie"/>
    <s v="TPV"/>
    <s v="Noe Mejia"/>
    <n v="1"/>
    <n v="1350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9450"/>
    <m/>
  </r>
  <r>
    <n v="51"/>
    <s v="Luis Mario Oropeza"/>
    <n v="40"/>
    <x v="6"/>
    <d v="2024-11-25T00:00:00"/>
    <d v="2024-12-25T00:00:00"/>
    <s v="Inscripción $0.00"/>
    <x v="4"/>
    <x v="0"/>
    <s v="15:00 a 16:00 Mie"/>
    <s v="TPV"/>
    <s v="Luis Mario Oropeza"/>
    <n v="1"/>
    <m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52"/>
    <s v="Luis Mario Oropeza"/>
    <n v="40"/>
    <x v="2"/>
    <d v="2024-11-25T00:00:00"/>
    <d v="2024-12-25T00:00:00"/>
    <s v="Inscripción $0.00"/>
    <x v="1"/>
    <x v="0"/>
    <s v="16:00 a 17:00 Mie"/>
    <s v="TPV"/>
    <s v="Luis Mario Oropeza"/>
    <n v="1"/>
    <m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66"/>
    <s v="Luis Tadeo Diaz Servín"/>
    <n v="15"/>
    <x v="5"/>
    <d v="2025-03-25T00:00:00"/>
    <d v="2025-04-25T00:00:00"/>
    <s v="Inscripción $0.00"/>
    <x v="3"/>
    <x v="0"/>
    <s v="17:00 a 18:00 Mar"/>
    <s v="Efectivo"/>
    <s v="Mayeli Servin Morales"/>
    <n v="1"/>
    <m/>
    <s v="No"/>
    <x v="1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1350"/>
    <n v="1350"/>
    <n v="1350"/>
    <n v="1350"/>
    <n v="1350"/>
    <n v="1350"/>
    <n v="1350"/>
    <n v="1350"/>
    <m/>
    <n v="11300"/>
    <m/>
  </r>
  <r>
    <n v="86"/>
    <s v="Luna Daniela Flores Alvarez"/>
    <n v="16"/>
    <x v="4"/>
    <d v="2025-06-25T00:00:00"/>
    <d v="2025-07-25T00:00:00"/>
    <s v="Inscripción $0.00"/>
    <x v="2"/>
    <x v="0"/>
    <s v="17:00 a 18:00 Jue"/>
    <s v="TPV"/>
    <s v="Haydee Paola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m/>
    <m/>
    <n v="3825"/>
    <m/>
  </r>
  <r>
    <n v="25"/>
    <s v="Luzbel Rueda Muñoz"/>
    <n v="16"/>
    <x v="3"/>
    <d v="2024-06-01T00:00:00"/>
    <d v="2024-07-01T00:00:00"/>
    <s v="Inscripción $0.00"/>
    <x v="1"/>
    <x v="0"/>
    <s v="17:00 a 18:00 Mie"/>
    <s v="Transferencia"/>
    <s v="Jose Noel Rued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80"/>
    <n v="0"/>
    <n v="0"/>
    <n v="0"/>
    <n v="0"/>
    <n v="0"/>
    <n v="0"/>
    <n v="0"/>
    <n v="0"/>
    <n v="0"/>
    <n v="0"/>
    <n v="0"/>
    <n v="0"/>
    <n v="0"/>
    <n v="8130"/>
    <m/>
  </r>
  <r>
    <n v="28"/>
    <s v="Manuel Santiago Mendoza"/>
    <n v="15"/>
    <x v="2"/>
    <d v="2024-07-04T00:00:00"/>
    <d v="2025-04-13T00:00:00"/>
    <s v="Inscripción $0.00"/>
    <x v="1"/>
    <x v="0"/>
    <s v="19:00 a 20:00 Jue"/>
    <s v="TPV"/>
    <s v="Erika Gallegos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4"/>
    <s v="Manuel Zacate Millan"/>
    <n v="62"/>
    <x v="3"/>
    <d v="2023-08-31T00:00:00"/>
    <d v="2023-09-30T00:00:00"/>
    <s v="Inscripción $0.00"/>
    <x v="1"/>
    <x v="0"/>
    <s v="12:30 a 13:30 Sab"/>
    <s v="TPV"/>
    <m/>
    <n v="1"/>
    <n v="1400"/>
    <m/>
    <x v="0"/>
    <s v="Guitarra G"/>
    <n v="0"/>
    <n v="14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00"/>
    <m/>
  </r>
  <r>
    <n v="78"/>
    <s v="Maria de Lourdes Galindo Becerra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59"/>
    <s v="Mariana Diaz Garcia"/>
    <n v="30"/>
    <x v="2"/>
    <d v="2025-01-21T00:00:00"/>
    <d v="2025-02-21T00:00:00"/>
    <s v="Inscripción $0.00"/>
    <x v="1"/>
    <x v="0"/>
    <s v="17:00 a 18:00 Mar"/>
    <s v="TPV"/>
    <s v="Mariana Diaz Gar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5"/>
    <s v="Mario Andrés Alpízar Venegas"/>
    <n v="34"/>
    <x v="2"/>
    <d v="2025-05-27T00:00:00"/>
    <d v="2025-06-27T00:00:00"/>
    <s v="Inscripción $0.00"/>
    <x v="1"/>
    <x v="0"/>
    <s v="11:00 a 12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70"/>
    <s v="Marty Isabella Alcaraz Olvera"/>
    <n v="16"/>
    <x v="2"/>
    <d v="2025-05-08T00:00:00"/>
    <d v="2025-06-08T00:00:00"/>
    <s v="Inscripción $0.00"/>
    <x v="1"/>
    <x v="0"/>
    <s v="16:00 a 17:00 Jue"/>
    <s v="Efectivo"/>
    <s v="Martha Yanira Olvera Ricco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275"/>
    <n v="1275"/>
    <n v="1275"/>
    <m/>
    <n v="9225"/>
    <s v="Efectivo 10-Jul"/>
  </r>
  <r>
    <n v="43"/>
    <s v="Mateo Gonzalez"/>
    <n v="11"/>
    <x v="7"/>
    <d v="2024-10-02T00:00:00"/>
    <d v="2024-11-02T00:00:00"/>
    <s v="Inscripción $0.00"/>
    <x v="2"/>
    <x v="0"/>
    <s v="19:00 a 20:00 Jue"/>
    <s v="TPV"/>
    <s v="Mymasociados"/>
    <n v="1"/>
    <n v="1275"/>
    <s v="Si"/>
    <x v="1"/>
    <s v="Teclado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8"/>
    <s v="Mateo Ludwig"/>
    <n v="12"/>
    <x v="5"/>
    <d v="2024-03-19T00:00:00"/>
    <d v="2024-04-19T00:00:00"/>
    <s v="Inscripción $0.00"/>
    <x v="3"/>
    <x v="0"/>
    <s v="18:00 a 19:00 Mar"/>
    <s v="TPV"/>
    <m/>
    <n v="1"/>
    <n v="1500"/>
    <s v="No"/>
    <x v="0"/>
    <s v="Bajo G"/>
    <n v="0"/>
    <n v="0"/>
    <n v="0"/>
    <n v="0"/>
    <n v="0"/>
    <n v="0"/>
    <n v="0"/>
    <n v="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0"/>
    <m/>
  </r>
  <r>
    <n v="85"/>
    <s v="Max Flores Alvarez"/>
    <n v="14"/>
    <x v="2"/>
    <d v="2025-06-25T00:00:00"/>
    <d v="2025-07-25T00:00:00"/>
    <s v="Inscripción $0.00"/>
    <x v="1"/>
    <x v="0"/>
    <s v="17:00 a 18:00 Jue"/>
    <s v="TPV"/>
    <s v="Haydee Paol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0"/>
    <m/>
    <n v="5175"/>
    <m/>
  </r>
  <r>
    <n v="101"/>
    <s v="Montserrat Paulina Talavera Huarcacha"/>
    <n v="33"/>
    <x v="7"/>
    <d v="2025-08-25T00:00:00"/>
    <d v="2025-09-25T00:00:00"/>
    <s v="Inscripción $0.00"/>
    <x v="2"/>
    <x v="0"/>
    <s v="16:00 a 17:00 Lun y Mie"/>
    <s v="Transferencia"/>
    <m/>
    <n v="2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m/>
    <m/>
    <n v="2550"/>
    <s v="Baja Temporal"/>
  </r>
  <r>
    <n v="50"/>
    <s v="Nicolas Gutierrez Rebollo"/>
    <n v="5"/>
    <x v="4"/>
    <d v="2024-11-09T00:00:00"/>
    <d v="2024-12-09T00:00:00"/>
    <s v="Inscripción $0.00"/>
    <x v="2"/>
    <x v="0"/>
    <s v="11:00 a 12:00 Sab"/>
    <s v="TPV"/>
    <s v="Judith Rebollo"/>
    <n v="1"/>
    <m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1350"/>
    <m/>
  </r>
  <r>
    <n v="19"/>
    <s v="Oscar Castilla"/>
    <n v="10"/>
    <x v="4"/>
    <d v="2024-03-22T00:00:00"/>
    <d v="2024-04-22T00:00:00"/>
    <s v="Inscripción $0.00"/>
    <x v="2"/>
    <x v="0"/>
    <s v="12:00 a 13:00 Mie"/>
    <s v="TPV"/>
    <s v="Oscar Castilla"/>
    <n v="1"/>
    <n v="1350"/>
    <s v="Si"/>
    <x v="0"/>
    <s v="Teclado G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00"/>
    <m/>
  </r>
  <r>
    <n v="34"/>
    <s v="Oscar Godinez Martinez"/>
    <n v="44"/>
    <x v="2"/>
    <d v="2024-08-31T00:00:00"/>
    <d v="2024-09-30T00:00:00"/>
    <s v="Inscripción $0.00"/>
    <x v="1"/>
    <x v="0"/>
    <s v="11:00 a 12:00 Sab"/>
    <s v="TPV"/>
    <s v="Oscar Godin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99"/>
    <s v="Pamela Gutierrez Carrillo"/>
    <n v="13"/>
    <x v="1"/>
    <d v="2025-07-31T00:00:00"/>
    <d v="2025-08-31T00:00:00"/>
    <s v="Inscripción $0.00"/>
    <x v="0"/>
    <x v="0"/>
    <s v="17:00 a 18:00 Mie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m/>
    <n v="4050"/>
    <m/>
  </r>
  <r>
    <n v="60"/>
    <s v="Paulina Yazmin Vallejo Nava"/>
    <n v="15"/>
    <x v="1"/>
    <d v="2025-01-28T00:00:00"/>
    <d v="2025-01-28T00:00:00"/>
    <s v="Inscripción $0.00"/>
    <x v="0"/>
    <x v="0"/>
    <s v="18:00 a 19:00 Mar"/>
    <s v="Efectivo"/>
    <s v="Mauricio Vallejo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1350"/>
    <n v="1350"/>
    <n v="0"/>
    <n v="0"/>
    <n v="0"/>
    <n v="0"/>
    <n v="0"/>
    <n v="0"/>
    <n v="0"/>
    <n v="4050"/>
    <m/>
  </r>
  <r>
    <n v="104"/>
    <s v="Rania Victoria Alcaraz Olvera"/>
    <n v="14"/>
    <x v="0"/>
    <d v="2025-09-03T00:00:00"/>
    <d v="2025-10-03T00:00:00"/>
    <s v="Inscripción $0.00"/>
    <x v="0"/>
    <x v="0"/>
    <s v="16:00 a 17:00 Ju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m/>
    <n v="3825"/>
    <m/>
  </r>
  <r>
    <n v="35"/>
    <s v="Rebeca Ramirez"/>
    <n v="35"/>
    <x v="1"/>
    <d v="2024-09-01T00:00:00"/>
    <d v="2024-10-01T00:00:00"/>
    <s v="Inscripción $0.00"/>
    <x v="0"/>
    <x v="0"/>
    <s v="19:00 a 20:00 Vie"/>
    <s v="TPV"/>
    <s v="Rebeca Ramirez"/>
    <n v="2"/>
    <n v="1250"/>
    <s v="Si"/>
    <x v="0"/>
    <s v="Batería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36"/>
    <s v="Rebeca Ramirez"/>
    <n v="35"/>
    <x v="6"/>
    <d v="2024-09-01T00:00:00"/>
    <d v="2024-10-01T00:00:00"/>
    <s v="Inscripción $0.00"/>
    <x v="4"/>
    <x v="0"/>
    <s v="19:00 a 20:00 Vie"/>
    <s v="TPV"/>
    <s v="Rebeca Ramirez"/>
    <m/>
    <m/>
    <s v="Si"/>
    <x v="0"/>
    <s v="Canto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77"/>
    <s v="Romina Rojas Aviles"/>
    <n v="14"/>
    <x v="2"/>
    <d v="2025-05-30T00:00:00"/>
    <d v="2025-06-30T00:00:00"/>
    <s v="Inscripción $0.00"/>
    <x v="1"/>
    <x v="0"/>
    <s v="18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1350"/>
    <m/>
    <n v="6450"/>
    <m/>
  </r>
  <r>
    <n v="30"/>
    <s v="Rui Ortiz"/>
    <n v="16"/>
    <x v="3"/>
    <d v="2024-07-05T00:00:00"/>
    <d v="2024-08-05T00:00:00"/>
    <s v="Inscripción $0.00"/>
    <x v="1"/>
    <x v="0"/>
    <s v="19:00 a 20:00 Vie"/>
    <s v="TPV"/>
    <s v="Manuel Orti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8100"/>
    <m/>
  </r>
  <r>
    <n v="107"/>
    <s v="Samantha Sandoval"/>
    <n v="9"/>
    <x v="4"/>
    <d v="2025-10-02T00:00:00"/>
    <d v="2025-11-02T00:00:00"/>
    <s v="Inscripción $0.00"/>
    <x v="2"/>
    <x v="0"/>
    <m/>
    <s v="Transferencia"/>
    <s v="Francisco Gabriel Sandoval"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81"/>
    <s v="Santiago Bustamante"/>
    <n v="6"/>
    <x v="0"/>
    <d v="2025-06-12T00:00:00"/>
    <d v="2025-07-12T00:00:00"/>
    <s v="Inscripción $0.00"/>
    <x v="0"/>
    <x v="0"/>
    <m/>
    <s v="TPV"/>
    <m/>
    <n v="2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n v="0"/>
    <n v="0"/>
    <n v="0"/>
    <n v="0"/>
    <n v="2550"/>
    <s v="Vacaciones"/>
  </r>
  <r>
    <n v="82"/>
    <s v="Santiago Rosas Estrada"/>
    <n v="23"/>
    <x v="1"/>
    <d v="2025-06-17T00:00:00"/>
    <m/>
    <s v="Inscripción $0.00"/>
    <x v="0"/>
    <x v="0"/>
    <s v="18:00 a 19:00 Mar "/>
    <s v="Becado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aja Definitiva"/>
  </r>
  <r>
    <n v="58"/>
    <s v="Sergio Hector Rivera Trejo"/>
    <n v="6"/>
    <x v="1"/>
    <d v="2025-01-11T00:00:00"/>
    <d v="2025-02-11T00:00:00"/>
    <s v="Inscripción $0.00"/>
    <x v="0"/>
    <x v="0"/>
    <s v="12:00 a 13:00 Sab"/>
    <s v="Transferencia"/>
    <s v="Blanca Estela Trejo Cano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9"/>
    <s v="Sofia Patiño Gonzalez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98"/>
    <s v="Vanessa Desire Maya Bermudez"/>
    <n v="37"/>
    <x v="1"/>
    <d v="2025-07-29T00:00:00"/>
    <d v="2025-08-29T00:00:00"/>
    <s v="Inscripción $0.00"/>
    <x v="0"/>
    <x v="0"/>
    <s v="18:00 a 19:00 Mar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89"/>
    <s v="Veronica Ramirez Ruano"/>
    <n v="36"/>
    <x v="3"/>
    <d v="2025-06-30T00:00:00"/>
    <d v="2025-07-30T00:00:00"/>
    <s v="Inscripción $0.00"/>
    <x v="1"/>
    <x v="0"/>
    <s v="15:00 a 16:00 Sab 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m/>
    <n v="6375"/>
    <m/>
  </r>
  <r>
    <n v="47"/>
    <s v="Victor Eduardo Caballero Nieto"/>
    <n v="24"/>
    <x v="4"/>
    <d v="2024-10-05T00:00:00"/>
    <d v="2024-11-05T00:00:00"/>
    <s v="Inscripción $0.00"/>
    <x v="2"/>
    <x v="0"/>
    <s v="19:00 a 20:00 Mie"/>
    <s v="TPV"/>
    <s v="Victor Eduardo Caballero Niet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0"/>
    <n v="0"/>
    <n v="2700"/>
    <m/>
  </r>
  <r>
    <n v="96"/>
    <s v="Xanat Yamil Carmona Jimenez"/>
    <n v="13"/>
    <x v="6"/>
    <d v="2025-07-26T00:00:00"/>
    <d v="2025-08-26T00:00:00"/>
    <s v="Inscripción $0.00"/>
    <x v="4"/>
    <x v="0"/>
    <s v="13:00 a 14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s v="Paga 30-Ago"/>
  </r>
  <r>
    <n v="31"/>
    <s v="Yoanna Barrios"/>
    <n v="30"/>
    <x v="4"/>
    <d v="2024-07-18T00:00:00"/>
    <d v="2024-08-18T00:00:00"/>
    <s v="Inscripción $0.00"/>
    <x v="2"/>
    <x v="0"/>
    <s v="11:00 a 12:00 Jue"/>
    <s v="Transferencia"/>
    <m/>
    <n v="1"/>
    <n v="1500"/>
    <s v="No"/>
    <x v="0"/>
    <s v="Teclad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32"/>
    <s v="Yoanna Barrios"/>
    <n v="30"/>
    <x v="6"/>
    <d v="2024-07-18T00:00:00"/>
    <d v="2024-08-18T00:00:00"/>
    <s v="Inscripción $0.00"/>
    <x v="4"/>
    <x v="0"/>
    <s v="11:00 a 12:00 Jue"/>
    <s v="Transferencia"/>
    <m/>
    <n v="1"/>
    <n v="1500"/>
    <s v="No"/>
    <x v="0"/>
    <s v="Cant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109"/>
    <s v="Yolotl Zeltzin Aguilar Villagrán"/>
    <n v="30"/>
    <x v="3"/>
    <d v="2025-10-04T00:00:00"/>
    <m/>
    <s v="Inscripción $0.00"/>
    <x v="1"/>
    <x v="0"/>
    <m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n v="110"/>
    <s v="Yolotl Zeltzin Aguilar Villagrán"/>
    <n v="30"/>
    <x v="6"/>
    <d v="2025-10-04T00:00:00"/>
    <m/>
    <s v="Inscripción $0.00"/>
    <x v="4"/>
    <x v="0"/>
    <m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Domino y Cuentas Rockstarskull"/>
    <x v="0"/>
    <x v="0"/>
    <n v="1"/>
    <n v="569"/>
    <n v="569"/>
  </r>
  <r>
    <x v="0"/>
    <s v="Logo"/>
    <x v="0"/>
    <x v="1"/>
    <n v="1"/>
    <n v="1000"/>
    <n v="1000"/>
  </r>
  <r>
    <x v="1"/>
    <s v="Videos de Frank Abril"/>
    <x v="1"/>
    <x v="1"/>
    <n v="4"/>
    <n v="200"/>
    <n v="800"/>
  </r>
  <r>
    <x v="2"/>
    <s v="Investigación jurídica "/>
    <x v="0"/>
    <x v="1"/>
    <n v="1"/>
    <n v="6000"/>
    <n v="6000"/>
  </r>
  <r>
    <x v="2"/>
    <s v="Servicios de Tramite"/>
    <x v="0"/>
    <x v="1"/>
    <n v="1"/>
    <n v="2000"/>
    <n v="2000"/>
  </r>
  <r>
    <x v="3"/>
    <s v="Renta 1 de 12 Local, pago por adelantado"/>
    <x v="1"/>
    <x v="1"/>
    <n v="1"/>
    <n v="12000"/>
    <n v="12000"/>
  </r>
  <r>
    <x v="3"/>
    <s v="Depósito de arrendamiento"/>
    <x v="0"/>
    <x v="1"/>
    <n v="1"/>
    <n v="12000"/>
    <n v="12000"/>
  </r>
  <r>
    <x v="3"/>
    <s v="Cinta metrica 5m"/>
    <x v="1"/>
    <x v="2"/>
    <n v="1"/>
    <n v="60"/>
    <n v="60"/>
  </r>
  <r>
    <x v="4"/>
    <s v="Videos de Frank Mayo "/>
    <x v="1"/>
    <x v="1"/>
    <n v="6"/>
    <n v="200"/>
    <n v="1200"/>
  </r>
  <r>
    <x v="5"/>
    <s v="Cámara IP PTZ Exterior v380Pro"/>
    <x v="1"/>
    <x v="0"/>
    <n v="1"/>
    <n v="1349"/>
    <n v="1349"/>
  </r>
  <r>
    <x v="5"/>
    <s v="Cámara IP PTZ Interior v380Pro"/>
    <x v="1"/>
    <x v="0"/>
    <n v="1"/>
    <n v="298"/>
    <n v="298"/>
  </r>
  <r>
    <x v="5"/>
    <s v="Cámara IP Visión Nocturna Interior v380Pro"/>
    <x v="1"/>
    <x v="0"/>
    <n v="3"/>
    <n v="317.72000000000003"/>
    <n v="953.16000000000008"/>
  </r>
  <r>
    <x v="5"/>
    <s v="Memoria MicroSD 64Gb"/>
    <x v="1"/>
    <x v="0"/>
    <n v="5"/>
    <n v="129"/>
    <n v="645"/>
  </r>
  <r>
    <x v="5"/>
    <s v="Cargador 5V 2A"/>
    <x v="1"/>
    <x v="0"/>
    <n v="3"/>
    <n v="95.99"/>
    <n v="287.96999999999997"/>
  </r>
  <r>
    <x v="6"/>
    <s v="Ampli Orange 32RT "/>
    <x v="2"/>
    <x v="2"/>
    <n v="1"/>
    <n v="8250"/>
    <n v="8250"/>
  </r>
  <r>
    <x v="6"/>
    <s v="Ampli Blackstar ID CORE 100"/>
    <x v="2"/>
    <x v="2"/>
    <n v="1"/>
    <n v="13419"/>
    <n v="13419"/>
  </r>
  <r>
    <x v="6"/>
    <s v="Jackson Monarkh"/>
    <x v="2"/>
    <x v="2"/>
    <n v="2"/>
    <n v="7598"/>
    <n v="15196"/>
  </r>
  <r>
    <x v="6"/>
    <s v="Foot switch"/>
    <x v="2"/>
    <x v="2"/>
    <n v="1"/>
    <n v="2315"/>
    <n v="2315"/>
  </r>
  <r>
    <x v="6"/>
    <s v="Baterías Alesis Nitro Mesh Kit"/>
    <x v="2"/>
    <x v="0"/>
    <n v="2"/>
    <n v="7599"/>
    <n v="15198"/>
  </r>
  <r>
    <x v="7"/>
    <s v="Ventilador de torre 34&quot;"/>
    <x v="1"/>
    <x v="0"/>
    <n v="3"/>
    <n v="809"/>
    <n v="2427"/>
  </r>
  <r>
    <x v="7"/>
    <s v="Extintor ABC 6Kg"/>
    <x v="1"/>
    <x v="0"/>
    <n v="1"/>
    <n v="880.44"/>
    <n v="880.44"/>
  </r>
  <r>
    <x v="7"/>
    <s v="Tiras LED luz neon flex manguera con fuente 25m"/>
    <x v="1"/>
    <x v="0"/>
    <n v="3"/>
    <n v="1094.83"/>
    <n v="3284.49"/>
  </r>
  <r>
    <x v="7"/>
    <s v="Interruptor Sonoff"/>
    <x v="1"/>
    <x v="0"/>
    <n v="3"/>
    <n v="135.63"/>
    <n v="406.89"/>
  </r>
  <r>
    <x v="7"/>
    <s v="Kit de señalización protección civil 10 piezas"/>
    <x v="1"/>
    <x v="0"/>
    <n v="1"/>
    <n v="350"/>
    <n v="350"/>
  </r>
  <r>
    <x v="7"/>
    <s v="Videos de Frank bloque 3 de 4"/>
    <x v="1"/>
    <x v="1"/>
    <n v="3"/>
    <n v="200"/>
    <n v="600"/>
  </r>
  <r>
    <x v="7"/>
    <s v="Silla eames negra"/>
    <x v="1"/>
    <x v="0"/>
    <n v="12"/>
    <n v="474.75"/>
    <n v="5697"/>
  </r>
  <r>
    <x v="8"/>
    <s v="Aislante acustico 1.22 x 2.44 Foamular 250"/>
    <x v="1"/>
    <x v="0"/>
    <n v="6"/>
    <n v="499"/>
    <n v="2994"/>
  </r>
  <r>
    <x v="8"/>
    <s v="Taquetes de madera"/>
    <x v="1"/>
    <x v="0"/>
    <n v="1"/>
    <n v="14.67"/>
    <n v="14.67"/>
  </r>
  <r>
    <x v="8"/>
    <s v="Tornillos para madera "/>
    <x v="1"/>
    <x v="0"/>
    <n v="1"/>
    <n v="79"/>
    <n v="79"/>
  </r>
  <r>
    <x v="8"/>
    <s v="Canes de madera"/>
    <x v="1"/>
    <x v="0"/>
    <n v="5"/>
    <n v="55"/>
    <n v="275"/>
  </r>
  <r>
    <x v="8"/>
    <s v="Puerta tambor"/>
    <x v="1"/>
    <x v="0"/>
    <n v="5"/>
    <n v="879"/>
    <n v="4395"/>
  </r>
  <r>
    <x v="8"/>
    <s v="Canal de amarre"/>
    <x v="1"/>
    <x v="0"/>
    <n v="6"/>
    <n v="71"/>
    <n v="426"/>
  </r>
  <r>
    <x v="8"/>
    <s v="Poste metálico"/>
    <x v="1"/>
    <x v="0"/>
    <n v="14"/>
    <n v="70"/>
    <n v="980"/>
  </r>
  <r>
    <x v="8"/>
    <s v="Marco de madera puerta c bisagra"/>
    <x v="1"/>
    <x v="0"/>
    <n v="5"/>
    <n v="735"/>
    <n v="3675"/>
  </r>
  <r>
    <x v="9"/>
    <s v="Parte 1 de 2 Mano de obra y panel OSB 12mm"/>
    <x v="1"/>
    <x v="1"/>
    <n v="1"/>
    <n v="7000"/>
    <n v="7000"/>
  </r>
  <r>
    <x v="10"/>
    <s v="Fuente regulada 12V 5A"/>
    <x v="1"/>
    <x v="0"/>
    <n v="3"/>
    <n v="368.65"/>
    <n v="1105.9499999999998"/>
  </r>
  <r>
    <x v="10"/>
    <s v="Mini amplificador de Audio 600W"/>
    <x v="1"/>
    <x v="0"/>
    <n v="3"/>
    <n v="443.43"/>
    <n v="1330.29"/>
  </r>
  <r>
    <x v="10"/>
    <s v="Parte 2 de 2 Mano de obra y panel OSB 12mm"/>
    <x v="1"/>
    <x v="1"/>
    <n v="1"/>
    <n v="10468"/>
    <n v="10468"/>
  </r>
  <r>
    <x v="11"/>
    <s v="Compra de componentes eléctricos (Home Depot)"/>
    <x v="0"/>
    <x v="0"/>
    <n v="1"/>
    <n v="1928.64"/>
    <n v="1928.64"/>
  </r>
  <r>
    <x v="12"/>
    <s v="Compra de paneles acusticos Pi Acustica"/>
    <x v="0"/>
    <x v="1"/>
    <n v="1"/>
    <n v="21942.34"/>
    <n v="21942.34"/>
  </r>
  <r>
    <x v="13"/>
    <s v="Empastado con redimix y pintado de muros"/>
    <x v="1"/>
    <x v="1"/>
    <n v="1"/>
    <n v="7621"/>
    <n v="7621"/>
  </r>
  <r>
    <x v="14"/>
    <s v="Botiquin de Primeros Auxilios"/>
    <x v="1"/>
    <x v="0"/>
    <n v="1"/>
    <n v="778.05"/>
    <n v="778.05"/>
  </r>
  <r>
    <x v="15"/>
    <s v="Botes de basura"/>
    <x v="1"/>
    <x v="0"/>
    <n v="5"/>
    <n v="135"/>
    <n v="675"/>
  </r>
  <r>
    <x v="16"/>
    <s v="Aspiradora"/>
    <x v="1"/>
    <x v="0"/>
    <n v="1"/>
    <n v="1078"/>
    <n v="1078"/>
  </r>
  <r>
    <x v="17"/>
    <s v="Renta 2 de 12 Local"/>
    <x v="0"/>
    <x v="1"/>
    <n v="1"/>
    <n v="11560"/>
    <n v="11560"/>
  </r>
  <r>
    <x v="18"/>
    <s v="Videos de Frank 4/4 Mayo y 3/4 Junio"/>
    <x v="1"/>
    <x v="1"/>
    <n v="12"/>
    <n v="200"/>
    <n v="2400"/>
  </r>
  <r>
    <x v="19"/>
    <s v="Smart TV Led 32&quot; Amaz"/>
    <x v="1"/>
    <x v="0"/>
    <n v="1"/>
    <n v="2598"/>
    <n v="2598"/>
  </r>
  <r>
    <x v="20"/>
    <s v="Transferencia Boker a Marco cargo"/>
    <x v="0"/>
    <x v="1"/>
    <n v="1"/>
    <n v="8224.8799999999992"/>
    <n v="8224.8799999999992"/>
  </r>
  <r>
    <x v="20"/>
    <s v="Transferencia Boker a Marco abono"/>
    <x v="1"/>
    <x v="1"/>
    <n v="1"/>
    <n v="-8224.8799999999992"/>
    <n v="-8224.8799999999992"/>
  </r>
  <r>
    <x v="20"/>
    <s v="Recogedor"/>
    <x v="1"/>
    <x v="0"/>
    <n v="1"/>
    <n v="75"/>
    <n v="75"/>
  </r>
  <r>
    <x v="20"/>
    <s v="Toalla manos"/>
    <x v="1"/>
    <x v="0"/>
    <n v="2"/>
    <n v="69"/>
    <n v="138"/>
  </r>
  <r>
    <x v="20"/>
    <s v="Trapo"/>
    <x v="1"/>
    <x v="0"/>
    <n v="2"/>
    <n v="18"/>
    <n v="36"/>
  </r>
  <r>
    <x v="20"/>
    <s v="Microfibra"/>
    <x v="1"/>
    <x v="0"/>
    <n v="2"/>
    <n v="10"/>
    <n v="20"/>
  </r>
  <r>
    <x v="20"/>
    <s v="Fibra 3 x 14"/>
    <x v="1"/>
    <x v="0"/>
    <n v="3"/>
    <n v="14"/>
    <n v="42"/>
  </r>
  <r>
    <x v="20"/>
    <s v="Pinol"/>
    <x v="1"/>
    <x v="0"/>
    <n v="1"/>
    <n v="40"/>
    <n v="40"/>
  </r>
  <r>
    <x v="20"/>
    <s v="Jabon de manos Equate"/>
    <x v="1"/>
    <x v="0"/>
    <n v="1"/>
    <n v="29"/>
    <n v="29"/>
  </r>
  <r>
    <x v="20"/>
    <s v="Cepillo para baño"/>
    <x v="1"/>
    <x v="0"/>
    <n v="1"/>
    <n v="25"/>
    <n v="25"/>
  </r>
  <r>
    <x v="20"/>
    <s v="Cloralex"/>
    <x v="1"/>
    <x v="0"/>
    <n v="1"/>
    <n v="14.5"/>
    <n v="14.5"/>
  </r>
  <r>
    <x v="20"/>
    <s v="Mini rodillo"/>
    <x v="1"/>
    <x v="0"/>
    <n v="1"/>
    <n v="49"/>
    <n v="49"/>
  </r>
  <r>
    <x v="20"/>
    <s v="Glade desinfectante"/>
    <x v="1"/>
    <x v="0"/>
    <n v="1"/>
    <n v="59"/>
    <n v="59"/>
  </r>
  <r>
    <x v="20"/>
    <s v="Guantes de hule 2 x 25"/>
    <x v="1"/>
    <x v="0"/>
    <n v="1"/>
    <n v="50"/>
    <n v="50"/>
  </r>
  <r>
    <x v="20"/>
    <s v="Brocha"/>
    <x v="1"/>
    <x v="0"/>
    <n v="1"/>
    <n v="25"/>
    <n v="25"/>
  </r>
  <r>
    <x v="20"/>
    <s v="Bomba para taza de baño"/>
    <x v="1"/>
    <x v="0"/>
    <n v="1"/>
    <n v="69.5"/>
    <n v="69.5"/>
  </r>
  <r>
    <x v="20"/>
    <s v="Jerga"/>
    <x v="1"/>
    <x v="0"/>
    <n v="1"/>
    <n v="26"/>
    <n v="26"/>
  </r>
  <r>
    <x v="20"/>
    <s v="Cepillo para retrete con base"/>
    <x v="1"/>
    <x v="0"/>
    <n v="1"/>
    <n v="55"/>
    <n v="55"/>
  </r>
  <r>
    <x v="20"/>
    <s v="Papel de baño 4 rollos"/>
    <x v="1"/>
    <x v="0"/>
    <n v="1"/>
    <n v="27"/>
    <n v="27"/>
  </r>
  <r>
    <x v="20"/>
    <s v="Jalador"/>
    <x v="1"/>
    <x v="0"/>
    <n v="1"/>
    <n v="65"/>
    <n v="65"/>
  </r>
  <r>
    <x v="21"/>
    <s v="Anuncio luminoso Neon flex rojo"/>
    <x v="1"/>
    <x v="1"/>
    <n v="1"/>
    <n v="3000"/>
    <n v="3000"/>
  </r>
  <r>
    <x v="21"/>
    <s v="Caja de luz 2.10 x 1.20 logo translúcido (fabr + inst)"/>
    <x v="1"/>
    <x v="1"/>
    <n v="1"/>
    <n v="9000"/>
    <n v="9000"/>
  </r>
  <r>
    <x v="22"/>
    <s v="Mueble Recepción Michigan 1.10m frente "/>
    <x v="1"/>
    <x v="2"/>
    <n v="1"/>
    <n v="3550"/>
    <n v="3550"/>
  </r>
  <r>
    <x v="23"/>
    <s v="Pago de mantenimiento Julio"/>
    <x v="0"/>
    <x v="2"/>
    <n v="1"/>
    <n v="440"/>
    <n v="440"/>
  </r>
  <r>
    <x v="24"/>
    <s v="Pizarrón blanco 80x120 cm"/>
    <x v="1"/>
    <x v="0"/>
    <n v="3"/>
    <n v="849"/>
    <n v="2547"/>
  </r>
  <r>
    <x v="24"/>
    <s v="Monitor 19&quot; Stylos"/>
    <x v="1"/>
    <x v="0"/>
    <n v="1"/>
    <n v="1399"/>
    <n v="1399"/>
  </r>
  <r>
    <x v="24"/>
    <s v="Mouse y teclado inalambrico Logitech"/>
    <x v="1"/>
    <x v="0"/>
    <n v="1"/>
    <n v="416"/>
    <n v="416"/>
  </r>
  <r>
    <x v="24"/>
    <s v="Mini Pc Intel N5105 De 11.ª Generación, 16 Gb, 512 Gb"/>
    <x v="1"/>
    <x v="0"/>
    <n v="1"/>
    <n v="3525.35"/>
    <n v="3525.35"/>
  </r>
  <r>
    <x v="24"/>
    <s v="Alfombra Astra Color gris 37m2"/>
    <x v="1"/>
    <x v="1"/>
    <n v="1"/>
    <n v="6845"/>
    <n v="6845"/>
  </r>
  <r>
    <x v="24"/>
    <s v="Transferencia Boker a Marco cargo"/>
    <x v="0"/>
    <x v="1"/>
    <n v="1"/>
    <n v="20000"/>
    <n v="20000"/>
  </r>
  <r>
    <x v="24"/>
    <s v="Transferencia Boker a Marco abono"/>
    <x v="1"/>
    <x v="1"/>
    <n v="1"/>
    <n v="-20000"/>
    <n v="-20000"/>
  </r>
  <r>
    <x v="24"/>
    <s v="Cafetera Oster"/>
    <x v="1"/>
    <x v="0"/>
    <n v="1"/>
    <n v="365"/>
    <n v="365"/>
  </r>
  <r>
    <x v="24"/>
    <s v="50% de adelanto a contrato mensual de CM"/>
    <x v="0"/>
    <x v="1"/>
    <n v="1"/>
    <n v="3712"/>
    <n v="3712"/>
  </r>
  <r>
    <x v="25"/>
    <s v="Registro de marca en el IMPI"/>
    <x v="1"/>
    <x v="2"/>
    <n v="1"/>
    <n v="2813.77"/>
    <n v="2813.77"/>
  </r>
  <r>
    <x v="25"/>
    <s v="Pago recibo CFE Local"/>
    <x v="1"/>
    <x v="1"/>
    <n v="1"/>
    <n v="192"/>
    <n v="192"/>
  </r>
  <r>
    <x v="26"/>
    <s v="Anuncio exterior luminoso"/>
    <x v="1"/>
    <x v="1"/>
    <n v="1"/>
    <n v="6800"/>
    <n v="6800"/>
  </r>
  <r>
    <x v="27"/>
    <s v="Invitación Grand Opening"/>
    <x v="1"/>
    <x v="1"/>
    <n v="1"/>
    <n v="400"/>
    <n v="400"/>
  </r>
  <r>
    <x v="27"/>
    <s v="Materiales: Pintura y Pegamento"/>
    <x v="0"/>
    <x v="2"/>
    <n v="1"/>
    <n v="650"/>
    <n v="650"/>
  </r>
  <r>
    <x v="28"/>
    <s v="Candado"/>
    <x v="1"/>
    <x v="1"/>
    <n v="1"/>
    <n v="242"/>
    <n v="242"/>
  </r>
  <r>
    <x v="29"/>
    <s v="Regleta Cargador Multicontactos 8 salidas 3 USB 1 C"/>
    <x v="1"/>
    <x v="0"/>
    <n v="1"/>
    <n v="427.24"/>
    <n v="427.24"/>
  </r>
  <r>
    <x v="29"/>
    <s v="Soporte para cámara IP Universal Base"/>
    <x v="1"/>
    <x v="0"/>
    <n v="2"/>
    <n v="159"/>
    <n v="318"/>
  </r>
  <r>
    <x v="29"/>
    <s v="Cámara IP Adicional (Salón Batería)"/>
    <x v="1"/>
    <x v="0"/>
    <n v="1"/>
    <n v="317.72000000000003"/>
    <n v="317.72000000000003"/>
  </r>
  <r>
    <x v="30"/>
    <s v="Meta Ads"/>
    <x v="0"/>
    <x v="1"/>
    <n v="1"/>
    <n v="5000"/>
    <n v="5000"/>
  </r>
  <r>
    <x v="30"/>
    <s v="TikTok Ads"/>
    <x v="0"/>
    <x v="1"/>
    <n v="1"/>
    <n v="3500"/>
    <n v="3500"/>
  </r>
  <r>
    <x v="30"/>
    <s v="Meta Ads (extra)"/>
    <x v="0"/>
    <x v="1"/>
    <n v="1"/>
    <n v="5000"/>
    <n v="5000"/>
  </r>
  <r>
    <x v="30"/>
    <s v="Amplificador de Bajo Meteoro 250 W"/>
    <x v="1"/>
    <x v="1"/>
    <n v="1"/>
    <n v="3000"/>
    <n v="3000"/>
  </r>
  <r>
    <x v="30"/>
    <s v="Amplificador Orange 20W"/>
    <x v="1"/>
    <x v="2"/>
    <n v="1"/>
    <n v="3199"/>
    <n v="3199"/>
  </r>
  <r>
    <x v="30"/>
    <s v="Lector tarjetas Point Smart TPV Mercado Pago"/>
    <x v="1"/>
    <x v="0"/>
    <n v="1"/>
    <n v="3499"/>
    <n v="3499"/>
  </r>
  <r>
    <x v="31"/>
    <s v="16 Cuadros canva b/n - Decoración"/>
    <x v="1"/>
    <x v="0"/>
    <n v="16"/>
    <n v="224.875"/>
    <n v="3598"/>
  </r>
  <r>
    <x v="32"/>
    <s v="Audifonos"/>
    <x v="2"/>
    <x v="2"/>
    <n v="3"/>
    <n v="79"/>
    <n v="237"/>
  </r>
  <r>
    <x v="32"/>
    <s v="Extensiones "/>
    <x v="2"/>
    <x v="2"/>
    <n v="2"/>
    <n v="26"/>
    <n v="52"/>
  </r>
  <r>
    <x v="32"/>
    <s v="Cables RCA - Plug "/>
    <x v="2"/>
    <x v="2"/>
    <n v="3"/>
    <n v="90"/>
    <n v="270"/>
  </r>
  <r>
    <x v="32"/>
    <s v="Cables Plug a Plug"/>
    <x v="2"/>
    <x v="2"/>
    <n v="3"/>
    <n v="175"/>
    <n v="525"/>
  </r>
  <r>
    <x v="32"/>
    <s v="Convertidores audifonos "/>
    <x v="2"/>
    <x v="2"/>
    <n v="2"/>
    <n v="25"/>
    <n v="50"/>
  </r>
  <r>
    <x v="32"/>
    <s v="Extensiones de audifonos"/>
    <x v="2"/>
    <x v="2"/>
    <n v="2"/>
    <n v="25"/>
    <n v="50"/>
  </r>
  <r>
    <x v="32"/>
    <s v="Instalación y contratación Total Play 75 Megas"/>
    <x v="1"/>
    <x v="2"/>
    <n v="1"/>
    <n v="550"/>
    <n v="550"/>
  </r>
  <r>
    <x v="33"/>
    <s v="Renta 3 de 12 Local"/>
    <x v="0"/>
    <x v="1"/>
    <n v="1"/>
    <n v="11560"/>
    <n v="11560"/>
  </r>
  <r>
    <x v="34"/>
    <s v="Diseño gráfico para impresiones"/>
    <x v="0"/>
    <x v="1"/>
    <n v="1"/>
    <n v="500"/>
    <n v="500"/>
  </r>
  <r>
    <x v="34"/>
    <s v="Pago 2 Jul CM"/>
    <x v="0"/>
    <x v="1"/>
    <n v="1"/>
    <n v="4408"/>
    <n v="4408"/>
  </r>
  <r>
    <x v="35"/>
    <s v="Videos de Frank bloque Julio"/>
    <x v="1"/>
    <x v="1"/>
    <n v="12"/>
    <n v="200"/>
    <n v="2400"/>
  </r>
  <r>
    <x v="35"/>
    <s v="Estante Plastico 4 repisas Pretul"/>
    <x v="1"/>
    <x v="0"/>
    <n v="1"/>
    <n v="297"/>
    <n v="297"/>
  </r>
  <r>
    <x v="36"/>
    <s v="Bajo JS Series Concert Bass"/>
    <x v="2"/>
    <x v="2"/>
    <n v="1"/>
    <n v="6999"/>
    <n v="6999"/>
  </r>
  <r>
    <x v="36"/>
    <s v="Soporte Guitarra Onstage"/>
    <x v="2"/>
    <x v="2"/>
    <n v="3"/>
    <n v="444"/>
    <n v="1332"/>
  </r>
  <r>
    <x v="36"/>
    <s v="Banco Batería Power Beat"/>
    <x v="2"/>
    <x v="2"/>
    <n v="1"/>
    <n v="2766"/>
    <n v="2766"/>
  </r>
  <r>
    <x v="37"/>
    <s v="Redistribución de cableado y habilitación de iluminación"/>
    <x v="1"/>
    <x v="2"/>
    <n v="1"/>
    <n v="1400"/>
    <n v="1400"/>
  </r>
  <r>
    <x v="38"/>
    <s v="Limpieza 29-jul"/>
    <x v="1"/>
    <x v="1"/>
    <n v="1"/>
    <n v="400"/>
    <n v="400"/>
  </r>
  <r>
    <x v="38"/>
    <s v="Banco Batería genérico"/>
    <x v="1"/>
    <x v="2"/>
    <n v="1"/>
    <n v="1000"/>
    <n v="1000"/>
  </r>
  <r>
    <x v="38"/>
    <s v="Pago de impresiones"/>
    <x v="0"/>
    <x v="1"/>
    <n v="1"/>
    <n v="3839"/>
    <n v="3839"/>
  </r>
  <r>
    <x v="39"/>
    <s v="Resanado de pared y caja para el tablero eléctrico"/>
    <x v="1"/>
    <x v="1"/>
    <n v="1"/>
    <n v="1150"/>
    <n v="1150"/>
  </r>
  <r>
    <x v="39"/>
    <s v="Depósito Google Ads"/>
    <x v="0"/>
    <x v="1"/>
    <n v="1"/>
    <n v="7200"/>
    <n v="7200"/>
  </r>
  <r>
    <x v="40"/>
    <s v="Mesa auxiliar"/>
    <x v="2"/>
    <x v="0"/>
    <n v="2"/>
    <n v="241"/>
    <n v="482"/>
  </r>
  <r>
    <x v="40"/>
    <s v="Mesa para computadora"/>
    <x v="2"/>
    <x v="0"/>
    <n v="1"/>
    <n v="580"/>
    <n v="580"/>
  </r>
  <r>
    <x v="41"/>
    <s v="Letreros decorativos Zona de Musica"/>
    <x v="1"/>
    <x v="0"/>
    <n v="5"/>
    <n v="511.19600000000003"/>
    <n v="2555.98"/>
  </r>
  <r>
    <x v="41"/>
    <s v="Limpieza 05-Ago"/>
    <x v="3"/>
    <x v="2"/>
    <n v="1"/>
    <n v="400"/>
    <n v="400"/>
  </r>
  <r>
    <x v="42"/>
    <s v="Pago 1 Ago CM"/>
    <x v="0"/>
    <x v="1"/>
    <n v="1"/>
    <n v="4408"/>
    <n v="4408"/>
  </r>
  <r>
    <x v="43"/>
    <s v="Limpieza 12-Ago"/>
    <x v="1"/>
    <x v="1"/>
    <n v="1"/>
    <n v="400"/>
    <n v="400"/>
  </r>
  <r>
    <x v="44"/>
    <s v="Pago Frank - Quincena"/>
    <x v="1"/>
    <x v="1"/>
    <n v="1"/>
    <n v="2000"/>
    <n v="2000"/>
  </r>
  <r>
    <x v="44"/>
    <s v="Base de amplificador"/>
    <x v="2"/>
    <x v="0"/>
    <n v="1"/>
    <n v="780"/>
    <n v="780"/>
  </r>
  <r>
    <x v="44"/>
    <s v="Bancopie"/>
    <x v="2"/>
    <x v="0"/>
    <n v="3"/>
    <n v="270"/>
    <n v="810"/>
  </r>
  <r>
    <x v="44"/>
    <s v="Base de teclado"/>
    <x v="2"/>
    <x v="0"/>
    <n v="1"/>
    <n v="560"/>
    <n v="560"/>
  </r>
  <r>
    <x v="45"/>
    <s v="Total Play"/>
    <x v="1"/>
    <x v="1"/>
    <n v="1"/>
    <n v="499"/>
    <n v="499"/>
  </r>
  <r>
    <x v="45"/>
    <s v="Letrero 911 - Emergencias"/>
    <x v="1"/>
    <x v="0"/>
    <n v="1"/>
    <n v="75"/>
    <n v="75"/>
  </r>
  <r>
    <x v="46"/>
    <s v="Limpieza 19-Ago"/>
    <x v="1"/>
    <x v="1"/>
    <n v="1"/>
    <n v="400"/>
    <n v="400"/>
  </r>
  <r>
    <x v="47"/>
    <s v="Renta 4 de 12 Local"/>
    <x v="0"/>
    <x v="1"/>
    <n v="1"/>
    <n v="11560"/>
    <n v="11560"/>
  </r>
  <r>
    <x v="48"/>
    <s v="Meta Ads - Agosto"/>
    <x v="1"/>
    <x v="1"/>
    <n v="1"/>
    <n v="6000"/>
    <n v="6000"/>
  </r>
  <r>
    <x v="48"/>
    <s v="Mantenimiento Agosto"/>
    <x v="0"/>
    <x v="1"/>
    <n v="1"/>
    <n v="700"/>
    <n v="700"/>
  </r>
  <r>
    <x v="48"/>
    <s v="Mantenimiento Septiembre"/>
    <x v="0"/>
    <x v="1"/>
    <n v="1"/>
    <n v="640"/>
    <n v="640"/>
  </r>
  <r>
    <x v="48"/>
    <s v="Depósito Google Ads - Agosto"/>
    <x v="0"/>
    <x v="0"/>
    <n v="1"/>
    <n v="7200"/>
    <n v="7200"/>
  </r>
  <r>
    <x v="49"/>
    <s v="Dos carpetas"/>
    <x v="2"/>
    <x v="2"/>
    <n v="2"/>
    <n v="50"/>
    <n v="100"/>
  </r>
  <r>
    <x v="50"/>
    <s v="Pago 2 Ago CM"/>
    <x v="0"/>
    <x v="1"/>
    <n v="1"/>
    <n v="4408"/>
    <n v="4408"/>
  </r>
  <r>
    <x v="50"/>
    <s v="Copias de formatos de inscripción, reglamento y pautadas"/>
    <x v="2"/>
    <x v="2"/>
    <n v="1"/>
    <n v="80"/>
    <n v="80"/>
  </r>
  <r>
    <x v="51"/>
    <s v="Limpieza 26-Ago"/>
    <x v="1"/>
    <x v="1"/>
    <n v="1"/>
    <n v="400"/>
    <n v="400"/>
  </r>
  <r>
    <x v="52"/>
    <s v="Poster y diurex"/>
    <x v="3"/>
    <x v="2"/>
    <n v="1"/>
    <n v="75"/>
    <n v="75"/>
  </r>
  <r>
    <x v="53"/>
    <s v="Mezcladora 4 CH"/>
    <x v="2"/>
    <x v="0"/>
    <n v="1"/>
    <n v="242"/>
    <n v="242"/>
  </r>
  <r>
    <x v="54"/>
    <s v="Pago Frank - Quincena"/>
    <x v="1"/>
    <x v="1"/>
    <n v="1"/>
    <n v="2000"/>
    <n v="2000"/>
  </r>
  <r>
    <x v="54"/>
    <s v="Pago clases de Guitarra"/>
    <x v="2"/>
    <x v="1"/>
    <n v="1"/>
    <n v="810"/>
    <n v="810"/>
  </r>
  <r>
    <x v="54"/>
    <s v="Comisiones TPV"/>
    <x v="3"/>
    <x v="3"/>
    <n v="1"/>
    <n v="488.36"/>
    <n v="488.36"/>
  </r>
  <r>
    <x v="55"/>
    <s v="Limpieza 02-Sep"/>
    <x v="1"/>
    <x v="1"/>
    <n v="1"/>
    <n v="400"/>
    <n v="400"/>
  </r>
  <r>
    <x v="56"/>
    <s v="Engrapadora y grapas"/>
    <x v="3"/>
    <x v="2"/>
    <n v="1"/>
    <n v="116"/>
    <n v="150"/>
  </r>
  <r>
    <x v="56"/>
    <s v="Cloralex y Roma"/>
    <x v="3"/>
    <x v="2"/>
    <n v="1"/>
    <n v="58"/>
    <n v="50"/>
  </r>
  <r>
    <x v="57"/>
    <s v="Limpieza 09-Sep"/>
    <x v="3"/>
    <x v="2"/>
    <n v="1"/>
    <n v="400"/>
    <n v="400"/>
  </r>
  <r>
    <x v="57"/>
    <s v="Pago recibo CFE Local"/>
    <x v="1"/>
    <x v="1"/>
    <n v="1"/>
    <n v="579"/>
    <n v="579"/>
  </r>
  <r>
    <x v="58"/>
    <s v="Pago Frank - Quincena"/>
    <x v="1"/>
    <x v="1"/>
    <n v="1"/>
    <n v="2000"/>
    <n v="2000"/>
  </r>
  <r>
    <x v="59"/>
    <s v="Renta 5 de 12 Local"/>
    <x v="1"/>
    <x v="1"/>
    <n v="1"/>
    <n v="11560"/>
    <n v="11560"/>
  </r>
  <r>
    <x v="60"/>
    <s v="Total Play"/>
    <x v="1"/>
    <x v="1"/>
    <n v="1"/>
    <n v="549"/>
    <n v="549"/>
  </r>
  <r>
    <x v="61"/>
    <s v="Limpieza 24-Sep"/>
    <x v="0"/>
    <x v="1"/>
    <n v="1"/>
    <n v="400"/>
    <n v="400"/>
  </r>
  <r>
    <x v="62"/>
    <s v="Pago 1 y 2 Sep CM"/>
    <x v="0"/>
    <x v="1"/>
    <n v="1"/>
    <n v="8816"/>
    <n v="8816"/>
  </r>
  <r>
    <x v="63"/>
    <s v="Pago Frank - Quincena"/>
    <x v="1"/>
    <x v="1"/>
    <n v="1"/>
    <n v="2000"/>
    <n v="2000"/>
  </r>
  <r>
    <x v="63"/>
    <s v="Limpieza 30-Sep"/>
    <x v="1"/>
    <x v="1"/>
    <n v="1"/>
    <n v="400"/>
    <n v="400"/>
  </r>
  <r>
    <x v="63"/>
    <s v="Pago clases de Teclado"/>
    <x v="1"/>
    <x v="1"/>
    <n v="2"/>
    <n v="400"/>
    <n v="800"/>
  </r>
  <r>
    <x v="63"/>
    <s v="Pago clases de muestra teclado"/>
    <x v="1"/>
    <x v="1"/>
    <n v="1"/>
    <n v="80"/>
    <n v="80"/>
  </r>
  <r>
    <x v="63"/>
    <s v="Pago clases de Batería"/>
    <x v="1"/>
    <x v="1"/>
    <n v="1"/>
    <n v="400"/>
    <n v="400"/>
  </r>
  <r>
    <x v="63"/>
    <s v="Pago clases de muestra Batería"/>
    <x v="1"/>
    <x v="1"/>
    <n v="4"/>
    <n v="80"/>
    <n v="320"/>
  </r>
  <r>
    <x v="63"/>
    <s v="Pago clases de Guitarra"/>
    <x v="2"/>
    <x v="1"/>
    <n v="1"/>
    <n v="2300"/>
    <n v="2300"/>
  </r>
  <r>
    <x v="63"/>
    <s v="Comisiones TPV"/>
    <x v="3"/>
    <x v="3"/>
    <n v="1"/>
    <n v="945.11"/>
    <n v="945.11"/>
  </r>
  <r>
    <x v="64"/>
    <s v="Pilas AAA"/>
    <x v="2"/>
    <x v="2"/>
    <n v="1"/>
    <n v="40"/>
    <n v="40"/>
  </r>
  <r>
    <x v="64"/>
    <s v="Teléfono fijo"/>
    <x v="2"/>
    <x v="2"/>
    <n v="1"/>
    <n v="1350"/>
    <n v="1350"/>
  </r>
  <r>
    <x v="65"/>
    <s v="Mantenimiento Octubre"/>
    <x v="0"/>
    <x v="1"/>
    <n v="1"/>
    <n v="640"/>
    <n v="640"/>
  </r>
  <r>
    <x v="66"/>
    <s v="Jabon de manos Equate"/>
    <x v="2"/>
    <x v="2"/>
    <n v="1"/>
    <n v="25"/>
    <n v="25"/>
  </r>
  <r>
    <x v="67"/>
    <s v="Limpieza 7-Oct"/>
    <x v="1"/>
    <x v="1"/>
    <n v="1"/>
    <n v="400"/>
    <n v="400"/>
  </r>
  <r>
    <x v="68"/>
    <s v="Limpieza 14-Oct"/>
    <x v="1"/>
    <x v="1"/>
    <n v="1"/>
    <n v="400"/>
    <n v="400"/>
  </r>
  <r>
    <x v="69"/>
    <s v="Pago Frank - Quincena"/>
    <x v="1"/>
    <x v="1"/>
    <n v="1"/>
    <n v="2000"/>
    <n v="2000"/>
  </r>
  <r>
    <x v="70"/>
    <s v="Total Play"/>
    <x v="1"/>
    <x v="1"/>
    <n v="1"/>
    <n v="499"/>
    <n v="499"/>
  </r>
  <r>
    <x v="71"/>
    <s v="Papel de baño 4 rollos"/>
    <x v="2"/>
    <x v="2"/>
    <n v="1"/>
    <n v="25"/>
    <n v="25"/>
  </r>
  <r>
    <x v="71"/>
    <s v="Renta Octubre"/>
    <x v="0"/>
    <x v="1"/>
    <n v="1"/>
    <n v="11560"/>
    <n v="11560"/>
  </r>
  <r>
    <x v="72"/>
    <s v="Limpieza 21-Oct"/>
    <x v="1"/>
    <x v="1"/>
    <n v="1"/>
    <n v="400"/>
    <n v="400"/>
  </r>
  <r>
    <x v="73"/>
    <s v="Limpieza 28-Oct"/>
    <x v="1"/>
    <x v="1"/>
    <n v="1"/>
    <n v="400"/>
    <n v="400"/>
  </r>
  <r>
    <x v="74"/>
    <s v="Pago Frank - Quincena"/>
    <x v="1"/>
    <x v="1"/>
    <n v="1"/>
    <n v="2000"/>
    <n v="2000"/>
  </r>
  <r>
    <x v="74"/>
    <s v="Pegamento"/>
    <x v="1"/>
    <x v="1"/>
    <n v="1"/>
    <n v="150"/>
    <n v="150"/>
  </r>
  <r>
    <x v="74"/>
    <s v="Adornos Halloween"/>
    <x v="1"/>
    <x v="1"/>
    <n v="1"/>
    <n v="250"/>
    <n v="250"/>
  </r>
  <r>
    <x v="74"/>
    <s v="Pago CFE"/>
    <x v="1"/>
    <x v="1"/>
    <n v="1"/>
    <n v="841"/>
    <n v="841"/>
  </r>
  <r>
    <x v="74"/>
    <s v="Comisiones TPV"/>
    <x v="3"/>
    <x v="3"/>
    <n v="1"/>
    <n v="852.75"/>
    <n v="852.75"/>
  </r>
  <r>
    <x v="74"/>
    <s v="Pago 1 de 2 mes de Octubre - Jorge MKT"/>
    <x v="3"/>
    <x v="4"/>
    <n v="1"/>
    <n v="4408"/>
    <n v="4408"/>
  </r>
  <r>
    <x v="74"/>
    <s v="Clases de Bajo Luis Blanquet"/>
    <x v="1"/>
    <x v="1"/>
    <n v="1"/>
    <n v="400"/>
    <n v="400"/>
  </r>
  <r>
    <x v="74"/>
    <s v="Clases de prueba canto Lizett Espinoza"/>
    <x v="1"/>
    <x v="1"/>
    <n v="2"/>
    <n v="80"/>
    <n v="160"/>
  </r>
  <r>
    <x v="74"/>
    <s v="Clases de prueba Bajo Luis Blanquet"/>
    <x v="1"/>
    <x v="1"/>
    <n v="1"/>
    <n v="80"/>
    <n v="80"/>
  </r>
  <r>
    <x v="74"/>
    <s v="Clases de piano Agueda Pecina"/>
    <x v="1"/>
    <x v="1"/>
    <n v="2"/>
    <n v="400"/>
    <n v="800"/>
  </r>
  <r>
    <x v="74"/>
    <s v="Clases de Batería Julio Olvera"/>
    <x v="1"/>
    <x v="1"/>
    <n v="2"/>
    <n v="400"/>
    <n v="800"/>
  </r>
  <r>
    <x v="74"/>
    <s v="Clases de Guitarra Hugo Vazquez"/>
    <x v="2"/>
    <x v="1"/>
    <n v="4"/>
    <n v="400"/>
    <n v="1600"/>
  </r>
  <r>
    <x v="74"/>
    <s v="Clases de Guitarra Individual Hugo Vazquez"/>
    <x v="2"/>
    <x v="1"/>
    <n v="1"/>
    <n v="560"/>
    <n v="560"/>
  </r>
  <r>
    <x v="75"/>
    <s v="Limpieza 04-Nov"/>
    <x v="1"/>
    <x v="1"/>
    <n v="1"/>
    <n v="400"/>
    <n v="400"/>
  </r>
  <r>
    <x v="76"/>
    <s v="Mantenimiento Noviembre y Diciembre"/>
    <x v="0"/>
    <x v="2"/>
    <n v="1"/>
    <n v="1310"/>
    <n v="1310"/>
  </r>
  <r>
    <x v="77"/>
    <s v="Limpieza 11-Nov"/>
    <x v="1"/>
    <x v="1"/>
    <n v="1"/>
    <n v="400"/>
    <n v="400"/>
  </r>
  <r>
    <x v="78"/>
    <s v="Total Play"/>
    <x v="1"/>
    <x v="1"/>
    <n v="1"/>
    <n v="499"/>
    <n v="499"/>
  </r>
  <r>
    <x v="79"/>
    <s v="Pago Frank - Quincena"/>
    <x v="1"/>
    <x v="1"/>
    <n v="1"/>
    <n v="2000"/>
    <n v="2000"/>
  </r>
  <r>
    <x v="80"/>
    <s v="Pago 1 mes de Noviembre Jorge"/>
    <x v="3"/>
    <x v="4"/>
    <n v="1"/>
    <n v="4408"/>
    <n v="4408"/>
  </r>
  <r>
    <x v="81"/>
    <s v="Limpieza 18-Nov"/>
    <x v="1"/>
    <x v="1"/>
    <n v="1"/>
    <n v="400"/>
    <n v="400"/>
  </r>
  <r>
    <x v="82"/>
    <s v="Renta Noviembre"/>
    <x v="0"/>
    <x v="1"/>
    <n v="1"/>
    <n v="11560"/>
    <n v="11560"/>
  </r>
  <r>
    <x v="83"/>
    <s v="Limpieza 25-Nov"/>
    <x v="3"/>
    <x v="4"/>
    <n v="1"/>
    <n v="400"/>
    <n v="400"/>
  </r>
  <r>
    <x v="83"/>
    <s v="Pago 2 mes de Noviembre Jorge"/>
    <x v="3"/>
    <x v="4"/>
    <n v="1"/>
    <n v="4408"/>
    <n v="4408"/>
  </r>
  <r>
    <x v="84"/>
    <s v="Google Ads"/>
    <x v="3"/>
    <x v="4"/>
    <n v="1"/>
    <n v="5000"/>
    <n v="5000"/>
  </r>
  <r>
    <x v="85"/>
    <s v="Facebook"/>
    <x v="3"/>
    <x v="1"/>
    <n v="1"/>
    <n v="5000"/>
    <n v="5000"/>
  </r>
  <r>
    <x v="86"/>
    <s v="Pago Frank - Quincena"/>
    <x v="1"/>
    <x v="1"/>
    <n v="1"/>
    <n v="2000"/>
    <n v="2000"/>
  </r>
  <r>
    <x v="86"/>
    <s v="Comisiones TPV"/>
    <x v="3"/>
    <x v="3"/>
    <n v="1"/>
    <n v="800.98"/>
    <n v="800.98"/>
  </r>
  <r>
    <x v="86"/>
    <s v="Clases de Guitarra Hugo Vazquez"/>
    <x v="1"/>
    <x v="2"/>
    <n v="1"/>
    <n v="2160"/>
    <n v="2160"/>
  </r>
  <r>
    <x v="86"/>
    <s v="Clases de piano Agueda Pecina"/>
    <x v="1"/>
    <x v="1"/>
    <n v="2"/>
    <n v="400"/>
    <n v="800"/>
  </r>
  <r>
    <x v="86"/>
    <s v="Clases de Batería Julio Olvera"/>
    <x v="1"/>
    <x v="1"/>
    <n v="2"/>
    <n v="400"/>
    <n v="800"/>
  </r>
  <r>
    <x v="86"/>
    <s v="Clases de Bajo Luis Blanquet"/>
    <x v="1"/>
    <x v="1"/>
    <n v="1"/>
    <n v="400"/>
    <n v="400"/>
  </r>
  <r>
    <x v="86"/>
    <s v="Clases de prueba canto Lizett Espinoza"/>
    <x v="1"/>
    <x v="1"/>
    <n v="1"/>
    <n v="80"/>
    <n v="80"/>
  </r>
  <r>
    <x v="87"/>
    <s v="Limpieza 02-Dic"/>
    <x v="1"/>
    <x v="1"/>
    <n v="1"/>
    <n v="400"/>
    <n v="400"/>
  </r>
  <r>
    <x v="88"/>
    <s v="Limpieza 09-Dic"/>
    <x v="1"/>
    <x v="1"/>
    <n v="1"/>
    <n v="400"/>
    <n v="400"/>
  </r>
  <r>
    <x v="89"/>
    <s v="Servicio AI para Anuncios"/>
    <x v="3"/>
    <x v="4"/>
    <n v="1"/>
    <n v="349.12"/>
    <n v="349.12"/>
  </r>
  <r>
    <x v="90"/>
    <s v="Total Play"/>
    <x v="1"/>
    <x v="1"/>
    <n v="1"/>
    <n v="499"/>
    <n v="499"/>
  </r>
  <r>
    <x v="90"/>
    <s v="Pago Frank - Quincena"/>
    <x v="1"/>
    <x v="1"/>
    <n v="1"/>
    <n v="2000"/>
    <n v="2000"/>
  </r>
  <r>
    <x v="90"/>
    <s v="Pago Frank - Aguinaldo"/>
    <x v="1"/>
    <x v="1"/>
    <n v="1"/>
    <n v="2000"/>
    <n v="2000"/>
  </r>
  <r>
    <x v="91"/>
    <s v="Limpieza 16-Dic"/>
    <x v="1"/>
    <x v="1"/>
    <n v="1"/>
    <n v="400"/>
    <n v="400"/>
  </r>
  <r>
    <x v="92"/>
    <s v="Google Ads"/>
    <x v="3"/>
    <x v="4"/>
    <n v="1"/>
    <n v="5000"/>
    <n v="5000"/>
  </r>
  <r>
    <x v="93"/>
    <s v="Renta Dic (1)"/>
    <x v="1"/>
    <x v="1"/>
    <n v="1"/>
    <n v="3000"/>
    <n v="3000"/>
  </r>
  <r>
    <x v="93"/>
    <s v="Renta Dic (2)"/>
    <x v="0"/>
    <x v="1"/>
    <n v="1"/>
    <n v="2560"/>
    <n v="2560"/>
  </r>
  <r>
    <x v="93"/>
    <s v="Renta Dic (3)"/>
    <x v="3"/>
    <x v="1"/>
    <n v="1"/>
    <n v="6000"/>
    <n v="6000"/>
  </r>
  <r>
    <x v="94"/>
    <s v="Comisiones TPV"/>
    <x v="3"/>
    <x v="3"/>
    <n v="1"/>
    <n v="813.16"/>
    <n v="813.16"/>
  </r>
  <r>
    <x v="94"/>
    <s v="Pago Frank - Quincena"/>
    <x v="1"/>
    <x v="1"/>
    <n v="1"/>
    <n v="2000"/>
    <n v="2000"/>
  </r>
  <r>
    <x v="94"/>
    <s v="Clases de Batería Julio Olvera"/>
    <x v="1"/>
    <x v="1"/>
    <n v="1"/>
    <n v="800"/>
    <n v="800"/>
  </r>
  <r>
    <x v="94"/>
    <s v="Clases de Bajo Luis Blanquet"/>
    <x v="1"/>
    <x v="1"/>
    <n v="1"/>
    <n v="400"/>
    <n v="400"/>
  </r>
  <r>
    <x v="94"/>
    <s v="Clases de piano Agueda Pecina"/>
    <x v="1"/>
    <x v="1"/>
    <n v="1"/>
    <n v="400"/>
    <n v="400"/>
  </r>
  <r>
    <x v="94"/>
    <s v="Clases de Guitarra Hugo Vazquez"/>
    <x v="1"/>
    <x v="1"/>
    <n v="1"/>
    <n v="2160"/>
    <n v="2160"/>
  </r>
  <r>
    <x v="95"/>
    <s v="Mantenimiento Enero"/>
    <x v="0"/>
    <x v="1"/>
    <n v="1"/>
    <n v="684"/>
    <n v="684"/>
  </r>
  <r>
    <x v="95"/>
    <s v="Pago Diciembre Jorge"/>
    <x v="3"/>
    <x v="1"/>
    <n v="1"/>
    <n v="4486"/>
    <n v="4486"/>
  </r>
  <r>
    <x v="96"/>
    <s v="Limpieza 06-Ene"/>
    <x v="1"/>
    <x v="1"/>
    <n v="1"/>
    <n v="400"/>
    <n v="400"/>
  </r>
  <r>
    <x v="97"/>
    <s v="Pago CFE"/>
    <x v="1"/>
    <x v="1"/>
    <n v="1"/>
    <n v="704"/>
    <n v="704"/>
  </r>
  <r>
    <x v="98"/>
    <s v="Servicio AI para Anuncios"/>
    <x v="3"/>
    <x v="1"/>
    <n v="1"/>
    <n v="341.52"/>
    <n v="341.52"/>
  </r>
  <r>
    <x v="99"/>
    <s v="Limpieza 14-Ene"/>
    <x v="3"/>
    <x v="1"/>
    <n v="1"/>
    <n v="400"/>
    <n v="400"/>
  </r>
  <r>
    <x v="100"/>
    <s v="Pago Frank - Quincena"/>
    <x v="1"/>
    <x v="1"/>
    <n v="1"/>
    <n v="2000"/>
    <n v="2000"/>
  </r>
  <r>
    <x v="100"/>
    <s v="Google Ads"/>
    <x v="3"/>
    <x v="1"/>
    <n v="1"/>
    <n v="5000"/>
    <n v="5000"/>
  </r>
  <r>
    <x v="101"/>
    <s v="Total Play"/>
    <x v="1"/>
    <x v="1"/>
    <n v="1"/>
    <n v="499"/>
    <n v="499"/>
  </r>
  <r>
    <x v="102"/>
    <s v="Limpieza 20-Ene"/>
    <x v="3"/>
    <x v="1"/>
    <n v="1"/>
    <n v="400"/>
    <n v="400"/>
  </r>
  <r>
    <x v="103"/>
    <s v="Renta Ene (1)"/>
    <x v="0"/>
    <x v="1"/>
    <n v="1"/>
    <n v="6000"/>
    <n v="6000"/>
  </r>
  <r>
    <x v="103"/>
    <s v="Renta Ene (2)"/>
    <x v="1"/>
    <x v="1"/>
    <n v="1"/>
    <n v="3000"/>
    <n v="3000"/>
  </r>
  <r>
    <x v="103"/>
    <s v="Renta Ene (3)"/>
    <x v="0"/>
    <x v="1"/>
    <n v="1"/>
    <n v="2560"/>
    <n v="2560"/>
  </r>
  <r>
    <x v="104"/>
    <s v="Limpieza 27-Ene"/>
    <x v="1"/>
    <x v="1"/>
    <n v="1"/>
    <n v="400"/>
    <n v="400"/>
  </r>
  <r>
    <x v="105"/>
    <s v="Comisiones TPV"/>
    <x v="3"/>
    <x v="3"/>
    <n v="1"/>
    <n v="813.16"/>
    <n v="813.16"/>
  </r>
  <r>
    <x v="105"/>
    <s v="Clases de Guitarra Hugo Vazquez"/>
    <x v="1"/>
    <x v="1"/>
    <n v="1"/>
    <n v="1900"/>
    <n v="1900"/>
  </r>
  <r>
    <x v="105"/>
    <s v="Clases de Teclado Manuel Reyes"/>
    <x v="1"/>
    <x v="1"/>
    <n v="1"/>
    <n v="400"/>
    <n v="400"/>
  </r>
  <r>
    <x v="105"/>
    <s v="Clases de Bajo Luis Blanquet"/>
    <x v="1"/>
    <x v="1"/>
    <n v="1"/>
    <n v="400"/>
    <n v="400"/>
  </r>
  <r>
    <x v="105"/>
    <s v="Clases de Batería Julio Olvera"/>
    <x v="1"/>
    <x v="1"/>
    <n v="1"/>
    <n v="1760"/>
    <n v="1760"/>
  </r>
  <r>
    <x v="105"/>
    <s v="Pago Frank - Quincena"/>
    <x v="1"/>
    <x v="1"/>
    <n v="1"/>
    <n v="2000"/>
    <n v="2000"/>
  </r>
  <r>
    <x v="106"/>
    <s v="Mantenimiento Febrero"/>
    <x v="0"/>
    <x v="1"/>
    <n v="1"/>
    <n v="684"/>
    <n v="684"/>
  </r>
  <r>
    <x v="106"/>
    <s v="Google Ads"/>
    <x v="0"/>
    <x v="1"/>
    <n v="1"/>
    <n v="5000"/>
    <n v="5000"/>
  </r>
  <r>
    <x v="107"/>
    <s v="Transferencia Marco a Antonio (Cargo)"/>
    <x v="1"/>
    <x v="1"/>
    <n v="1"/>
    <n v="6000"/>
    <n v="6000"/>
  </r>
  <r>
    <x v="107"/>
    <s v="Transferencia Marco a Antonio (Abono)"/>
    <x v="0"/>
    <x v="1"/>
    <n v="1"/>
    <n v="-6000"/>
    <n v="-6000"/>
  </r>
  <r>
    <x v="107"/>
    <s v="Gel antibacterial"/>
    <x v="3"/>
    <x v="2"/>
    <n v="1"/>
    <n v="115"/>
    <n v="115"/>
  </r>
  <r>
    <x v="107"/>
    <s v="Cables"/>
    <x v="3"/>
    <x v="2"/>
    <n v="1"/>
    <n v="750"/>
    <n v="750"/>
  </r>
  <r>
    <x v="107"/>
    <s v="Papel de baño 4 rollos"/>
    <x v="3"/>
    <x v="2"/>
    <n v="1"/>
    <n v="50"/>
    <n v="50"/>
  </r>
  <r>
    <x v="107"/>
    <s v="Limpieza 03-Feb"/>
    <x v="1"/>
    <x v="1"/>
    <n v="1"/>
    <n v="400"/>
    <n v="400"/>
  </r>
  <r>
    <x v="108"/>
    <s v="Limpieza 10-Feb"/>
    <x v="3"/>
    <x v="1"/>
    <n v="1"/>
    <n v="400"/>
    <n v="400"/>
  </r>
  <r>
    <x v="109"/>
    <s v="Servicio AI para Anuncios"/>
    <x v="3"/>
    <x v="1"/>
    <n v="1"/>
    <n v="343.42"/>
    <n v="343.42"/>
  </r>
  <r>
    <x v="110"/>
    <s v="Pago Frank - Quincena"/>
    <x v="1"/>
    <x v="1"/>
    <n v="1"/>
    <n v="2000"/>
    <n v="2000"/>
  </r>
  <r>
    <x v="111"/>
    <s v="Total Play"/>
    <x v="1"/>
    <x v="1"/>
    <n v="1"/>
    <n v="549"/>
    <n v="549"/>
  </r>
  <r>
    <x v="112"/>
    <s v="Limpieza 17-Feb"/>
    <x v="3"/>
    <x v="1"/>
    <n v="1"/>
    <n v="400"/>
    <n v="400"/>
  </r>
  <r>
    <x v="113"/>
    <s v="Renta Febrero"/>
    <x v="0"/>
    <x v="1"/>
    <n v="1"/>
    <n v="11560"/>
    <n v="11560"/>
  </r>
  <r>
    <x v="113"/>
    <s v="Google Ads"/>
    <x v="0"/>
    <x v="1"/>
    <n v="1"/>
    <n v="5000"/>
    <n v="5000"/>
  </r>
  <r>
    <x v="114"/>
    <s v="Limpieza 24-Feb"/>
    <x v="3"/>
    <x v="1"/>
    <n v="1"/>
    <n v="400"/>
    <n v="400"/>
  </r>
  <r>
    <x v="115"/>
    <s v="Transferencia Escuela a Antonio Razo - Cargo"/>
    <x v="3"/>
    <x v="1"/>
    <n v="1"/>
    <n v="10000"/>
    <n v="10000"/>
  </r>
  <r>
    <x v="115"/>
    <s v="Transferencia Escuela a Antonio Razo - Abono"/>
    <x v="0"/>
    <x v="1"/>
    <n v="1"/>
    <n v="-10000"/>
    <n v="-10000"/>
  </r>
  <r>
    <x v="116"/>
    <s v="Comisiones TPV"/>
    <x v="3"/>
    <x v="3"/>
    <n v="1"/>
    <n v="752.26"/>
    <n v="752.26"/>
  </r>
  <r>
    <x v="116"/>
    <s v="Pago Frank - Quincena"/>
    <x v="1"/>
    <x v="1"/>
    <n v="1"/>
    <n v="2000"/>
    <n v="2000"/>
  </r>
  <r>
    <x v="116"/>
    <s v="Clases de Batería Julio Olvera"/>
    <x v="3"/>
    <x v="1"/>
    <n v="1"/>
    <n v="1200"/>
    <n v="1200"/>
  </r>
  <r>
    <x v="116"/>
    <s v="Clases de Guitarra Hugo Vazquez"/>
    <x v="3"/>
    <x v="1"/>
    <n v="1"/>
    <n v="1200"/>
    <n v="1200"/>
  </r>
  <r>
    <x v="116"/>
    <s v="Clases de Teclado Manuel Reyes"/>
    <x v="3"/>
    <x v="1"/>
    <n v="1"/>
    <n v="400"/>
    <n v="400"/>
  </r>
  <r>
    <x v="116"/>
    <s v="Clases de Bajo Luis Blanquet"/>
    <x v="3"/>
    <x v="1"/>
    <n v="1"/>
    <n v="400"/>
    <n v="400"/>
  </r>
  <r>
    <x v="117"/>
    <s v="Mantenimiento Marzo"/>
    <x v="0"/>
    <x v="1"/>
    <n v="1"/>
    <n v="684"/>
    <n v="684"/>
  </r>
  <r>
    <x v="117"/>
    <s v="Limpieza 01-Mar"/>
    <x v="3"/>
    <x v="1"/>
    <n v="1"/>
    <n v="400"/>
    <n v="400"/>
  </r>
  <r>
    <x v="118"/>
    <s v="Cloro, jabón, papel de baño"/>
    <x v="3"/>
    <x v="2"/>
    <n v="1"/>
    <n v="150"/>
    <n v="150"/>
  </r>
  <r>
    <x v="119"/>
    <s v="Limpieza 08-Mar"/>
    <x v="3"/>
    <x v="1"/>
    <n v="1"/>
    <n v="400"/>
    <n v="400"/>
  </r>
  <r>
    <x v="120"/>
    <s v="Pago CFE"/>
    <x v="1"/>
    <x v="1"/>
    <n v="1"/>
    <n v="643"/>
    <n v="643"/>
  </r>
  <r>
    <x v="121"/>
    <s v="Pago Frank - Quincena"/>
    <x v="3"/>
    <x v="1"/>
    <n v="1"/>
    <n v="2000"/>
    <n v="2000"/>
  </r>
  <r>
    <x v="122"/>
    <s v="Total Play"/>
    <x v="3"/>
    <x v="1"/>
    <n v="1"/>
    <n v="499"/>
    <n v="499"/>
  </r>
  <r>
    <x v="123"/>
    <s v="Limpieza 15-Mar"/>
    <x v="3"/>
    <x v="1"/>
    <n v="1"/>
    <n v="400"/>
    <n v="400"/>
  </r>
  <r>
    <x v="124"/>
    <s v="Limpieza 22-Mar"/>
    <x v="3"/>
    <x v="1"/>
    <n v="1"/>
    <n v="400"/>
    <n v="400"/>
  </r>
  <r>
    <x v="124"/>
    <s v="Renta Marzo"/>
    <x v="3"/>
    <x v="1"/>
    <n v="1"/>
    <n v="11560"/>
    <n v="11560"/>
  </r>
  <r>
    <x v="125"/>
    <s v="Google Ads"/>
    <x v="0"/>
    <x v="0"/>
    <n v="1"/>
    <n v="5000"/>
    <n v="5000"/>
  </r>
  <r>
    <x v="126"/>
    <s v="Limpieza 29-Mar"/>
    <x v="3"/>
    <x v="1"/>
    <n v="1"/>
    <n v="400"/>
    <n v="400"/>
  </r>
  <r>
    <x v="127"/>
    <s v="Comisiones TPV"/>
    <x v="3"/>
    <x v="3"/>
    <n v="1"/>
    <n v="949.17"/>
    <n v="949.17"/>
  </r>
  <r>
    <x v="127"/>
    <s v="Pago Frank - Quincena"/>
    <x v="1"/>
    <x v="1"/>
    <n v="1"/>
    <n v="2000"/>
    <n v="2000"/>
  </r>
  <r>
    <x v="127"/>
    <s v="Clases de Batería Julio Olvera"/>
    <x v="3"/>
    <x v="1"/>
    <n v="1"/>
    <n v="1820"/>
    <n v="1820"/>
  </r>
  <r>
    <x v="127"/>
    <s v="Clases de Guitarra Hugo Vazquez"/>
    <x v="3"/>
    <x v="1"/>
    <n v="1"/>
    <n v="2200"/>
    <n v="2200"/>
  </r>
  <r>
    <x v="127"/>
    <s v="Clases de Teclado Manuel Reyes"/>
    <x v="3"/>
    <x v="1"/>
    <n v="1"/>
    <n v="800"/>
    <n v="800"/>
  </r>
  <r>
    <x v="127"/>
    <s v="Clases de Bajo Luis Blanquet"/>
    <x v="3"/>
    <x v="1"/>
    <n v="1"/>
    <n v="800"/>
    <n v="800"/>
  </r>
  <r>
    <x v="128"/>
    <s v="Mantenimiento Abril"/>
    <x v="0"/>
    <x v="1"/>
    <n v="1"/>
    <n v="684"/>
    <n v="684"/>
  </r>
  <r>
    <x v="129"/>
    <s v="Limpieza 08-Abr"/>
    <x v="3"/>
    <x v="1"/>
    <n v="1"/>
    <n v="400"/>
    <n v="400"/>
  </r>
  <r>
    <x v="130"/>
    <s v="Limpieza 13-Abr"/>
    <x v="3"/>
    <x v="1"/>
    <n v="1"/>
    <n v="400"/>
    <n v="400"/>
  </r>
  <r>
    <x v="131"/>
    <s v="Quincena Frank"/>
    <x v="3"/>
    <x v="1"/>
    <n v="1"/>
    <n v="2000"/>
    <n v="2000"/>
  </r>
  <r>
    <x v="131"/>
    <s v="Videos Frank Rockstar Skull"/>
    <x v="3"/>
    <x v="1"/>
    <n v="8"/>
    <n v="256.25"/>
    <n v="2050"/>
  </r>
  <r>
    <x v="131"/>
    <s v="Renta parte 1 de 3"/>
    <x v="1"/>
    <x v="1"/>
    <n v="1"/>
    <n v="3000"/>
    <n v="3000"/>
  </r>
  <r>
    <x v="132"/>
    <s v="Renta parte 2 de 3"/>
    <x v="3"/>
    <x v="1"/>
    <n v="1"/>
    <n v="6000"/>
    <n v="6000"/>
  </r>
  <r>
    <x v="132"/>
    <s v="Renta parte 3 de 3"/>
    <x v="0"/>
    <x v="1"/>
    <n v="1"/>
    <n v="2560"/>
    <n v="2560"/>
  </r>
  <r>
    <x v="132"/>
    <s v="Total Play"/>
    <x v="1"/>
    <x v="1"/>
    <n v="1"/>
    <n v="549"/>
    <n v="549"/>
  </r>
  <r>
    <x v="132"/>
    <s v="Limpieza 20-Abr"/>
    <x v="3"/>
    <x v="1"/>
    <n v="1"/>
    <n v="400"/>
    <n v="400"/>
  </r>
  <r>
    <x v="133"/>
    <s v="Limpieza 27-Abr"/>
    <x v="3"/>
    <x v="1"/>
    <n v="1"/>
    <n v="400"/>
    <n v="400"/>
  </r>
  <r>
    <x v="134"/>
    <s v="Meta Ads"/>
    <x v="0"/>
    <x v="1"/>
    <n v="1"/>
    <n v="5000"/>
    <n v="5000"/>
  </r>
  <r>
    <x v="135"/>
    <s v="Pago Frank - Quincena"/>
    <x v="1"/>
    <x v="1"/>
    <n v="1"/>
    <n v="3500"/>
    <n v="3500"/>
  </r>
  <r>
    <x v="135"/>
    <s v="Clases de Teclado Manuel Reyes"/>
    <x v="1"/>
    <x v="1"/>
    <n v="1"/>
    <n v="560"/>
    <n v="560"/>
  </r>
  <r>
    <x v="135"/>
    <s v="Clases de Guitarra Electrica"/>
    <x v="1"/>
    <x v="1"/>
    <n v="1"/>
    <n v="1660"/>
    <n v="1660"/>
  </r>
  <r>
    <x v="135"/>
    <s v="Clases de Batería Julio Olvera"/>
    <x v="1"/>
    <x v="1"/>
    <n v="1"/>
    <n v="1660"/>
    <n v="1660"/>
  </r>
  <r>
    <x v="135"/>
    <s v="Comisiones TPV"/>
    <x v="3"/>
    <x v="3"/>
    <n v="1"/>
    <n v="711.66"/>
    <n v="711.66"/>
  </r>
  <r>
    <x v="136"/>
    <s v="Hosting Suempresa.com"/>
    <x v="0"/>
    <x v="1"/>
    <n v="1"/>
    <n v="986"/>
    <n v="986"/>
  </r>
  <r>
    <x v="136"/>
    <s v="Mantenimiento Mayo"/>
    <x v="0"/>
    <x v="1"/>
    <n v="1"/>
    <n v="684"/>
    <n v="684"/>
  </r>
  <r>
    <x v="137"/>
    <s v="Limpieza 5-May"/>
    <x v="3"/>
    <x v="1"/>
    <n v="1"/>
    <n v="400"/>
    <n v="400"/>
  </r>
  <r>
    <x v="138"/>
    <s v="Transferencia Escuela a Marco (cargo)"/>
    <x v="3"/>
    <x v="1"/>
    <n v="1"/>
    <n v="5000"/>
    <n v="5000"/>
  </r>
  <r>
    <x v="138"/>
    <s v="Transferencia Escuela a Marco (abono)"/>
    <x v="1"/>
    <x v="1"/>
    <n v="1"/>
    <n v="-5000"/>
    <n v="-5000"/>
  </r>
  <r>
    <x v="138"/>
    <s v="Pago CFE"/>
    <x v="1"/>
    <x v="1"/>
    <n v="1"/>
    <n v="730"/>
    <n v="730"/>
  </r>
  <r>
    <x v="139"/>
    <s v="Google Ads"/>
    <x v="3"/>
    <x v="1"/>
    <n v="1"/>
    <n v="5000"/>
    <n v="5000"/>
  </r>
  <r>
    <x v="140"/>
    <s v="Transferencia Escuela a Marco (cargo)"/>
    <x v="3"/>
    <x v="1"/>
    <n v="1"/>
    <n v="3659"/>
    <n v="3659"/>
  </r>
  <r>
    <x v="140"/>
    <s v="Transferencia Escuela a Marco (abono)"/>
    <x v="1"/>
    <x v="1"/>
    <n v="1"/>
    <n v="-3659"/>
    <n v="-3659"/>
  </r>
  <r>
    <x v="141"/>
    <s v="Limpieza 12-May"/>
    <x v="3"/>
    <x v="1"/>
    <n v="1"/>
    <n v="400"/>
    <n v="400"/>
  </r>
  <r>
    <x v="142"/>
    <s v="Pago Frank - Quincena"/>
    <x v="1"/>
    <x v="1"/>
    <n v="1"/>
    <n v="3500"/>
    <n v="3500"/>
  </r>
  <r>
    <x v="143"/>
    <s v="Limpieza 18-May"/>
    <x v="3"/>
    <x v="1"/>
    <n v="1"/>
    <n v="400"/>
    <n v="400"/>
  </r>
  <r>
    <x v="144"/>
    <s v="Total Play"/>
    <x v="1"/>
    <x v="1"/>
    <n v="1"/>
    <n v="549"/>
    <n v="549"/>
  </r>
  <r>
    <x v="144"/>
    <s v="Renta parte 1 de 3"/>
    <x v="1"/>
    <x v="1"/>
    <n v="1"/>
    <n v="3000"/>
    <n v="3000"/>
  </r>
  <r>
    <x v="145"/>
    <s v="Renta parte 2 de 3"/>
    <x v="3"/>
    <x v="1"/>
    <n v="1"/>
    <n v="6000"/>
    <n v="6000"/>
  </r>
  <r>
    <x v="145"/>
    <s v="Renta parte 3 de 3"/>
    <x v="0"/>
    <x v="1"/>
    <n v="1"/>
    <n v="2560"/>
    <n v="2560"/>
  </r>
  <r>
    <x v="146"/>
    <s v="Limpieza 25-May"/>
    <x v="3"/>
    <x v="1"/>
    <n v="1"/>
    <n v="400"/>
    <n v="400"/>
  </r>
  <r>
    <x v="147"/>
    <s v="Comisiones TPV"/>
    <x v="3"/>
    <x v="3"/>
    <n v="1"/>
    <n v="1022.25"/>
    <n v="1022.25"/>
  </r>
  <r>
    <x v="147"/>
    <s v="Pago Frank - Quincena"/>
    <x v="1"/>
    <x v="1"/>
    <n v="1"/>
    <n v="3500"/>
    <n v="3500"/>
  </r>
  <r>
    <x v="147"/>
    <s v="Clases de Teclado Manuel Reyes"/>
    <x v="3"/>
    <x v="1"/>
    <n v="1"/>
    <n v="1600"/>
    <n v="1600"/>
  </r>
  <r>
    <x v="147"/>
    <s v="Clases de Guitarra Electrica"/>
    <x v="1"/>
    <x v="1"/>
    <n v="1"/>
    <n v="2060"/>
    <n v="2060"/>
  </r>
  <r>
    <x v="147"/>
    <s v="Clases de Batería Julio Olvera"/>
    <x v="1"/>
    <x v="1"/>
    <n v="1"/>
    <n v="1900"/>
    <n v="1900"/>
  </r>
  <r>
    <x v="148"/>
    <s v="Limpieza 1-Jun"/>
    <x v="3"/>
    <x v="1"/>
    <n v="1"/>
    <n v="400"/>
    <n v="400"/>
  </r>
  <r>
    <x v="149"/>
    <s v="Transferencia Escuela a Marco (cargo)"/>
    <x v="3"/>
    <x v="1"/>
    <n v="1"/>
    <n v="5000"/>
    <n v="5000"/>
  </r>
  <r>
    <x v="149"/>
    <s v="Transferencia Escuela a Marco (abono)"/>
    <x v="1"/>
    <x v="1"/>
    <n v="1"/>
    <n v="-5000"/>
    <n v="-5000"/>
  </r>
  <r>
    <x v="150"/>
    <s v="Limpieza - 9 Jun"/>
    <x v="3"/>
    <x v="1"/>
    <n v="1"/>
    <n v="400"/>
    <n v="400"/>
  </r>
  <r>
    <x v="151"/>
    <s v="Playeras y Tazas Rockstar Skull"/>
    <x v="1"/>
    <x v="1"/>
    <n v="1"/>
    <n v="4488"/>
    <n v="4488"/>
  </r>
  <r>
    <x v="152"/>
    <s v="Quincena Frank"/>
    <x v="1"/>
    <x v="1"/>
    <n v="1"/>
    <n v="3500"/>
    <n v="3500"/>
  </r>
  <r>
    <x v="153"/>
    <s v="Limpieza 16 Jun"/>
    <x v="3"/>
    <x v="1"/>
    <n v="1"/>
    <n v="400"/>
    <n v="400"/>
  </r>
  <r>
    <x v="153"/>
    <s v="Total Play"/>
    <x v="1"/>
    <x v="1"/>
    <n v="1"/>
    <n v="519"/>
    <n v="519"/>
  </r>
  <r>
    <x v="154"/>
    <s v="Transferencia Escuela a Marco (cargo)"/>
    <x v="3"/>
    <x v="1"/>
    <n v="1"/>
    <n v="3500"/>
    <n v="3500"/>
  </r>
  <r>
    <x v="154"/>
    <s v="Transferencia Escuela a Marco (abono)"/>
    <x v="1"/>
    <x v="1"/>
    <n v="1"/>
    <n v="-3500"/>
    <n v="-3500"/>
  </r>
  <r>
    <x v="155"/>
    <s v="Renta Junio 1 de 3"/>
    <x v="3"/>
    <x v="1"/>
    <n v="1"/>
    <n v="6000"/>
    <n v="6000"/>
  </r>
  <r>
    <x v="155"/>
    <s v="Renta Junio 2 de 3"/>
    <x v="0"/>
    <x v="1"/>
    <n v="1"/>
    <n v="3000"/>
    <n v="3000"/>
  </r>
  <r>
    <x v="155"/>
    <s v="Renta Junio 3 de 3"/>
    <x v="1"/>
    <x v="1"/>
    <n v="1"/>
    <n v="2560"/>
    <n v="2560"/>
  </r>
  <r>
    <x v="156"/>
    <s v="Limpieza 23 Jun"/>
    <x v="3"/>
    <x v="1"/>
    <n v="1"/>
    <n v="400"/>
    <n v="400"/>
  </r>
  <r>
    <x v="157"/>
    <s v="Meta Ads"/>
    <x v="0"/>
    <x v="1"/>
    <n v="1"/>
    <n v="5000"/>
    <n v="5000"/>
  </r>
  <r>
    <x v="158"/>
    <s v="Limpieza 30 Jun"/>
    <x v="3"/>
    <x v="1"/>
    <n v="1"/>
    <n v="400"/>
    <n v="400"/>
  </r>
  <r>
    <x v="158"/>
    <s v="Clases de Batería Julio Olvera"/>
    <x v="1"/>
    <x v="1"/>
    <n v="1"/>
    <n v="1980"/>
    <n v="1980"/>
  </r>
  <r>
    <x v="158"/>
    <s v="Quincena Frank"/>
    <x v="1"/>
    <x v="1"/>
    <n v="1"/>
    <n v="3500"/>
    <n v="3500"/>
  </r>
  <r>
    <x v="158"/>
    <s v="Clases de Guitarra Electrica"/>
    <x v="1"/>
    <x v="1"/>
    <n v="1"/>
    <n v="2940"/>
    <n v="2940"/>
  </r>
  <r>
    <x v="158"/>
    <s v="Clase de muestra Bajo"/>
    <x v="1"/>
    <x v="1"/>
    <n v="1"/>
    <n v="80"/>
    <n v="80"/>
  </r>
  <r>
    <x v="158"/>
    <s v="Clase de muestra Canto"/>
    <x v="1"/>
    <x v="1"/>
    <n v="1"/>
    <n v="80"/>
    <n v="80"/>
  </r>
  <r>
    <x v="158"/>
    <s v="Clases de Teclado Manuel Reyes"/>
    <x v="1"/>
    <x v="1"/>
    <n v="1"/>
    <n v="720"/>
    <n v="720"/>
  </r>
  <r>
    <x v="158"/>
    <s v="Pago CFE"/>
    <x v="1"/>
    <x v="1"/>
    <n v="1"/>
    <n v="753"/>
    <n v="753"/>
  </r>
  <r>
    <x v="158"/>
    <s v="Comisiones TPV"/>
    <x v="3"/>
    <x v="1"/>
    <n v="1"/>
    <n v="930.9"/>
    <n v="930.9"/>
  </r>
  <r>
    <x v="159"/>
    <s v="Limpieza 06-Jul"/>
    <x v="3"/>
    <x v="1"/>
    <n v="1"/>
    <n v="400"/>
    <n v="400"/>
  </r>
  <r>
    <x v="160"/>
    <s v="Mantenimiento Julio"/>
    <x v="3"/>
    <x v="1"/>
    <n v="1"/>
    <n v="750"/>
    <n v="750"/>
  </r>
  <r>
    <x v="161"/>
    <s v="Limpieza 13-Jul"/>
    <x v="3"/>
    <x v="1"/>
    <n v="1"/>
    <n v="400"/>
    <n v="400"/>
  </r>
  <r>
    <x v="161"/>
    <s v="Quincena Frank"/>
    <x v="3"/>
    <x v="1"/>
    <n v="1"/>
    <n v="3500"/>
    <n v="3500"/>
  </r>
  <r>
    <x v="162"/>
    <s v="Total Play"/>
    <x v="1"/>
    <x v="1"/>
    <n v="1"/>
    <n v="569"/>
    <n v="569"/>
  </r>
  <r>
    <x v="163"/>
    <s v="Gastos Escuela (Aclarar Hugo)"/>
    <x v="3"/>
    <x v="1"/>
    <n v="1"/>
    <n v="1500"/>
    <n v="1500"/>
  </r>
  <r>
    <x v="164"/>
    <s v="Limpieza 20-Jul"/>
    <x v="3"/>
    <x v="1"/>
    <n v="1"/>
    <n v="400"/>
    <n v="400"/>
  </r>
  <r>
    <x v="165"/>
    <s v="Renta Julio 1 de 3"/>
    <x v="3"/>
    <x v="1"/>
    <n v="1"/>
    <n v="6000"/>
    <n v="6000"/>
  </r>
  <r>
    <x v="165"/>
    <s v="Renta Julio 2 de 3"/>
    <x v="0"/>
    <x v="1"/>
    <n v="1"/>
    <n v="2560"/>
    <n v="2560"/>
  </r>
  <r>
    <x v="165"/>
    <s v="Renta Julio 3 de 3"/>
    <x v="1"/>
    <x v="1"/>
    <n v="1"/>
    <n v="3000"/>
    <n v="3000"/>
  </r>
  <r>
    <x v="166"/>
    <s v="Limpieza 27-Jul"/>
    <x v="3"/>
    <x v="1"/>
    <n v="1"/>
    <n v="400"/>
    <n v="400"/>
  </r>
  <r>
    <x v="167"/>
    <s v="Clases de Guitarra Hugo Vazquez"/>
    <x v="3"/>
    <x v="1"/>
    <n v="1"/>
    <n v="2880"/>
    <n v="2880"/>
  </r>
  <r>
    <x v="167"/>
    <s v="Quincena Frank"/>
    <x v="3"/>
    <x v="1"/>
    <n v="1"/>
    <n v="3500"/>
    <n v="3500"/>
  </r>
  <r>
    <x v="167"/>
    <s v="Clases de Batería Julio Olvera"/>
    <x v="3"/>
    <x v="1"/>
    <n v="1"/>
    <n v="1900"/>
    <n v="1900"/>
  </r>
  <r>
    <x v="167"/>
    <s v="Clases de Teclado Manuel Reyes"/>
    <x v="3"/>
    <x v="1"/>
    <n v="1"/>
    <n v="1200"/>
    <n v="1200"/>
  </r>
  <r>
    <x v="167"/>
    <s v="Clase de muestra Bajo Luis Blanquet"/>
    <x v="3"/>
    <x v="1"/>
    <n v="1"/>
    <n v="80"/>
    <n v="80"/>
  </r>
  <r>
    <x v="167"/>
    <s v="Clases de Guitarra Irwin Hernandez"/>
    <x v="3"/>
    <x v="1"/>
    <n v="1"/>
    <n v="1180"/>
    <n v="1180"/>
  </r>
  <r>
    <x v="167"/>
    <s v="Comisiones TPV"/>
    <x v="3"/>
    <x v="1"/>
    <n v="1"/>
    <n v="1186.68"/>
    <n v="1186.68"/>
  </r>
  <r>
    <x v="167"/>
    <s v="Clases de Teclado Manuel Reyes (complemento)"/>
    <x v="3"/>
    <x v="1"/>
    <n v="1"/>
    <n v="400"/>
    <n v="400"/>
  </r>
  <r>
    <x v="168"/>
    <s v="Limpieza 4-Ago"/>
    <x v="3"/>
    <x v="1"/>
    <n v="1"/>
    <n v="400"/>
    <n v="400"/>
  </r>
  <r>
    <x v="169"/>
    <s v="Mantenimiento Agosto"/>
    <x v="3"/>
    <x v="1"/>
    <n v="1"/>
    <n v="750"/>
    <n v="750"/>
  </r>
  <r>
    <x v="170"/>
    <s v="Limpieza 12 Ago"/>
    <x v="3"/>
    <x v="1"/>
    <n v="1"/>
    <n v="400"/>
    <n v="400"/>
  </r>
  <r>
    <x v="171"/>
    <s v="Quincena Frank"/>
    <x v="3"/>
    <x v="1"/>
    <n v="1"/>
    <n v="3500"/>
    <n v="3500"/>
  </r>
  <r>
    <x v="171"/>
    <s v="Total Play"/>
    <x v="1"/>
    <x v="1"/>
    <n v="1"/>
    <n v="519"/>
    <n v="519"/>
  </r>
  <r>
    <x v="172"/>
    <s v="Limpieza 18 Ago"/>
    <x v="3"/>
    <x v="1"/>
    <n v="1"/>
    <n v="400"/>
    <n v="400"/>
  </r>
  <r>
    <x v="173"/>
    <s v="Banner y lona Rockstar (Hugo)"/>
    <x v="3"/>
    <x v="1"/>
    <n v="1"/>
    <n v="1200"/>
    <n v="1200"/>
  </r>
  <r>
    <x v="174"/>
    <s v="Renta Agosto"/>
    <x v="3"/>
    <x v="1"/>
    <n v="1"/>
    <n v="11560"/>
    <n v="11560"/>
  </r>
  <r>
    <x v="175"/>
    <s v="Limpieza 24 Ago"/>
    <x v="3"/>
    <x v="1"/>
    <n v="1"/>
    <n v="400"/>
    <n v="400"/>
  </r>
  <r>
    <x v="176"/>
    <s v="Pago CFE"/>
    <x v="1"/>
    <x v="1"/>
    <n v="1"/>
    <n v="762"/>
    <n v="762"/>
  </r>
  <r>
    <x v="177"/>
    <s v="Quincena Frank"/>
    <x v="3"/>
    <x v="1"/>
    <n v="1"/>
    <n v="3500"/>
    <n v="3500"/>
  </r>
  <r>
    <x v="177"/>
    <s v="Limpieza 31 Ago"/>
    <x v="3"/>
    <x v="1"/>
    <n v="1"/>
    <n v="400"/>
    <n v="400"/>
  </r>
  <r>
    <x v="177"/>
    <s v="Clases de Batería Julio Olvera"/>
    <x v="1"/>
    <x v="1"/>
    <n v="1"/>
    <n v="900"/>
    <n v="900"/>
  </r>
  <r>
    <x v="177"/>
    <s v="Clases de Batería Julio Olvera"/>
    <x v="3"/>
    <x v="1"/>
    <n v="1"/>
    <n v="1000"/>
    <n v="1000"/>
  </r>
  <r>
    <x v="177"/>
    <s v="Clases de Guitarra Irwin Hernandez"/>
    <x v="3"/>
    <x v="1"/>
    <n v="1"/>
    <n v="1000"/>
    <n v="1000"/>
  </r>
  <r>
    <x v="177"/>
    <s v="Clases de Guitarra Hugo Vazquez"/>
    <x v="1"/>
    <x v="1"/>
    <n v="1"/>
    <n v="2800"/>
    <n v="2800"/>
  </r>
  <r>
    <x v="177"/>
    <s v="Clases de Teclado Manuel Reyes"/>
    <x v="1"/>
    <x v="1"/>
    <n v="1"/>
    <n v="1200"/>
    <n v="1200"/>
  </r>
  <r>
    <x v="177"/>
    <s v="Clases de Canto Annie Carrizales"/>
    <x v="3"/>
    <x v="1"/>
    <n v="1"/>
    <n v="1600"/>
    <n v="1600"/>
  </r>
  <r>
    <x v="177"/>
    <s v="Comisiones TPV"/>
    <x v="3"/>
    <x v="1"/>
    <n v="1"/>
    <n v="1401.86"/>
    <n v="1401.86"/>
  </r>
  <r>
    <x v="178"/>
    <s v="Mantenimiento"/>
    <x v="3"/>
    <x v="1"/>
    <n v="1"/>
    <n v="700"/>
    <n v="700"/>
  </r>
  <r>
    <x v="179"/>
    <s v="Meta Ads"/>
    <x v="0"/>
    <x v="1"/>
    <n v="1"/>
    <n v="5000"/>
    <n v="5000"/>
  </r>
  <r>
    <x v="180"/>
    <s v="Limpieza 07-Sep"/>
    <x v="3"/>
    <x v="1"/>
    <n v="1"/>
    <n v="400"/>
    <n v="400"/>
  </r>
  <r>
    <x v="181"/>
    <s v="Limpieza 14-Sep"/>
    <x v="3"/>
    <x v="1"/>
    <n v="1"/>
    <n v="400"/>
    <n v="400"/>
  </r>
  <r>
    <x v="182"/>
    <s v="Total Play"/>
    <x v="1"/>
    <x v="1"/>
    <n v="1"/>
    <n v="519"/>
    <n v="519"/>
  </r>
  <r>
    <x v="182"/>
    <s v="Quincena Frank"/>
    <x v="3"/>
    <x v="1"/>
    <n v="1"/>
    <n v="3500"/>
    <n v="3500"/>
  </r>
  <r>
    <x v="183"/>
    <s v="Renta Local Septiembre"/>
    <x v="3"/>
    <x v="1"/>
    <n v="1"/>
    <n v="11560"/>
    <n v="11560"/>
  </r>
  <r>
    <x v="184"/>
    <s v="Limpieza 21-Sep"/>
    <x v="3"/>
    <x v="1"/>
    <n v="1"/>
    <n v="400"/>
    <n v="400"/>
  </r>
  <r>
    <x v="185"/>
    <s v="Clases de Batería Julio Olvera"/>
    <x v="3"/>
    <x v="1"/>
    <n v="1"/>
    <n v="1900"/>
    <n v="1900"/>
  </r>
  <r>
    <x v="185"/>
    <s v="Clases de Guitarra Irwin Hernandez"/>
    <x v="3"/>
    <x v="1"/>
    <n v="1"/>
    <n v="2100"/>
    <n v="2100"/>
  </r>
  <r>
    <x v="185"/>
    <s v="Clases de Guitarra Hugo Vazquez"/>
    <x v="3"/>
    <x v="1"/>
    <n v="1"/>
    <n v="2800"/>
    <n v="2800"/>
  </r>
  <r>
    <x v="185"/>
    <s v="Clases de Teclado Manuel Reyes"/>
    <x v="3"/>
    <x v="1"/>
    <n v="1"/>
    <n v="800"/>
    <n v="800"/>
  </r>
  <r>
    <x v="185"/>
    <s v="Clases de Canto Nahomy Perez"/>
    <x v="3"/>
    <x v="1"/>
    <n v="1"/>
    <n v="800"/>
    <n v="800"/>
  </r>
  <r>
    <x v="185"/>
    <s v="Clases de Bajo Luis Blanquet"/>
    <x v="3"/>
    <x v="1"/>
    <n v="1"/>
    <n v="400"/>
    <n v="400"/>
  </r>
  <r>
    <x v="185"/>
    <s v="Quincena Frank"/>
    <x v="3"/>
    <x v="1"/>
    <n v="1"/>
    <n v="3500"/>
    <n v="3500"/>
  </r>
  <r>
    <x v="185"/>
    <s v="Comisiones TPV"/>
    <x v="3"/>
    <x v="1"/>
    <n v="1"/>
    <n v="1298.33"/>
    <n v="1298.33"/>
  </r>
  <r>
    <x v="185"/>
    <s v="Limpieza 28-Sep"/>
    <x v="3"/>
    <x v="1"/>
    <n v="1"/>
    <n v="400"/>
    <n v="400"/>
  </r>
  <r>
    <x v="186"/>
    <s v="Mantenimiento Octubre"/>
    <x v="3"/>
    <x v="1"/>
    <n v="1"/>
    <n v="700"/>
    <n v="700"/>
  </r>
  <r>
    <x v="187"/>
    <s v="Limpieza 05-Oct"/>
    <x v="3"/>
    <x v="1"/>
    <n v="1"/>
    <n v="400"/>
    <n v="400"/>
  </r>
  <r>
    <x v="188"/>
    <s v="Articulos de limpieza"/>
    <x v="3"/>
    <x v="2"/>
    <n v="1"/>
    <n v="403"/>
    <n v="403"/>
  </r>
  <r>
    <x v="189"/>
    <s v="Limpieza 12-Oct"/>
    <x v="3"/>
    <x v="1"/>
    <n v="1"/>
    <n v="400"/>
    <n v="400"/>
  </r>
  <r>
    <x v="189"/>
    <s v="Total Play"/>
    <x v="1"/>
    <x v="1"/>
    <n v="1"/>
    <n v="519"/>
    <n v="519"/>
  </r>
  <r>
    <x v="190"/>
    <s v="Quincena Frank"/>
    <x v="3"/>
    <x v="1"/>
    <n v="1"/>
    <n v="3500"/>
    <n v="3500"/>
  </r>
  <r>
    <x v="191"/>
    <s v="Limpieza 19-Oct"/>
    <x v="3"/>
    <x v="1"/>
    <n v="1"/>
    <n v="400"/>
    <n v="400"/>
  </r>
  <r>
    <x v="192"/>
    <s v="Renta Local Octubre"/>
    <x v="3"/>
    <x v="1"/>
    <n v="1"/>
    <n v="11560"/>
    <n v="11560"/>
  </r>
  <r>
    <x v="193"/>
    <s v="Limpieza 26-Oct"/>
    <x v="3"/>
    <x v="1"/>
    <n v="1"/>
    <n v="400"/>
    <n v="400"/>
  </r>
  <r>
    <x v="194"/>
    <s v="Clases de Batería Julio Olvera"/>
    <x v="3"/>
    <x v="1"/>
    <n v="1"/>
    <n v="2860"/>
    <n v="2860"/>
  </r>
  <r>
    <x v="194"/>
    <s v="Clases de Batería Demian Andrade"/>
    <x v="3"/>
    <x v="1"/>
    <n v="1"/>
    <n v="400"/>
    <n v="400"/>
  </r>
  <r>
    <x v="194"/>
    <s v="Clases de Guitarra Irwin Hernandez"/>
    <x v="3"/>
    <x v="1"/>
    <n v="1"/>
    <n v="2100"/>
    <n v="2100"/>
  </r>
  <r>
    <x v="194"/>
    <s v="Clases de Guitarra Hugo Vazquez"/>
    <x v="3"/>
    <x v="1"/>
    <n v="1"/>
    <n v="3680"/>
    <n v="3680"/>
  </r>
  <r>
    <x v="194"/>
    <s v="Clases de Teclado Manuel Reyes"/>
    <x v="3"/>
    <x v="1"/>
    <n v="4"/>
    <n v="400"/>
    <n v="1600"/>
  </r>
  <r>
    <x v="194"/>
    <s v="Clases de Canto Nahomy Perez"/>
    <x v="3"/>
    <x v="1"/>
    <n v="3"/>
    <n v="400"/>
    <n v="1200"/>
  </r>
  <r>
    <x v="194"/>
    <s v="Clases de Bajo Luis Blanquet"/>
    <x v="3"/>
    <x v="1"/>
    <n v="1"/>
    <n v="480"/>
    <n v="480"/>
  </r>
  <r>
    <x v="194"/>
    <s v="Quincena Frank"/>
    <x v="3"/>
    <x v="1"/>
    <n v="1"/>
    <n v="3500"/>
    <n v="3500"/>
  </r>
  <r>
    <x v="194"/>
    <s v="Comisiones TPV"/>
    <x v="3"/>
    <x v="1"/>
    <n v="1"/>
    <n v="1773.35"/>
    <n v="1773.35"/>
  </r>
  <r>
    <x v="195"/>
    <s v="Behrninger B210D Bafle Activo"/>
    <x v="1"/>
    <x v="0"/>
    <n v="2"/>
    <n v="7590"/>
    <n v="15180"/>
  </r>
  <r>
    <x v="196"/>
    <s v="Limpieza 4 Nov"/>
    <x v="3"/>
    <x v="1"/>
    <n v="1"/>
    <n v="400"/>
    <n v="400"/>
  </r>
  <r>
    <x v="196"/>
    <s v="Mantenimiento Nov"/>
    <x v="3"/>
    <x v="1"/>
    <n v="1"/>
    <n v="690"/>
    <n v="690"/>
  </r>
  <r>
    <x v="197"/>
    <s v="Alto professional TX2125 SW Activo 12&quot; 900W con DSP"/>
    <x v="1"/>
    <x v="0"/>
    <n v="2"/>
    <n v="7399"/>
    <n v="14798"/>
  </r>
  <r>
    <x v="198"/>
    <s v="Meta Ads"/>
    <x v="3"/>
    <x v="1"/>
    <n v="1"/>
    <n v="5250"/>
    <n v="5250"/>
  </r>
  <r>
    <x v="199"/>
    <s v="Limpieza 12 Nov"/>
    <x v="3"/>
    <x v="1"/>
    <n v="1"/>
    <n v="400"/>
    <n v="400"/>
  </r>
  <r>
    <x v="199"/>
    <s v="Limpieza 09-Nov"/>
    <x v="3"/>
    <x v="1"/>
    <n v="1"/>
    <n v="400"/>
    <n v="400"/>
  </r>
  <r>
    <x v="200"/>
    <s v="Zoom Anualidad"/>
    <x v="3"/>
    <x v="1"/>
    <n v="1"/>
    <n v="2453.3000000000002"/>
    <n v="2453.3000000000002"/>
  </r>
  <r>
    <x v="201"/>
    <s v="Quincena Frank"/>
    <x v="3"/>
    <x v="1"/>
    <n v="1"/>
    <n v="3300.94"/>
    <n v="3300.94"/>
  </r>
  <r>
    <x v="202"/>
    <s v="Limpieza 16 Nov"/>
    <x v="3"/>
    <x v="1"/>
    <n v="1"/>
    <n v="400"/>
    <n v="400"/>
  </r>
  <r>
    <x v="202"/>
    <s v="Total Play"/>
    <x v="1"/>
    <x v="1"/>
    <n v="1"/>
    <n v="519"/>
    <n v="519"/>
  </r>
  <r>
    <x v="203"/>
    <s v="Renta Local Noviembre"/>
    <x v="3"/>
    <x v="1"/>
    <n v="1"/>
    <n v="11560"/>
    <n v="11560"/>
  </r>
  <r>
    <x v="204"/>
    <s v="Pago Nov - Irving"/>
    <x v="3"/>
    <x v="1"/>
    <n v="1"/>
    <n v="2900"/>
    <n v="2900"/>
  </r>
  <r>
    <x v="204"/>
    <s v="Pago Nov - Manuel Reyes"/>
    <x v="3"/>
    <x v="1"/>
    <n v="1"/>
    <n v="2000"/>
    <n v="2000"/>
  </r>
  <r>
    <x v="204"/>
    <s v="Pago Nov - Demian Andrade"/>
    <x v="3"/>
    <x v="1"/>
    <n v="1"/>
    <n v="400"/>
    <n v="400"/>
  </r>
  <r>
    <x v="204"/>
    <s v="Pago Nov - Luis Blanquet"/>
    <x v="3"/>
    <x v="1"/>
    <n v="1"/>
    <n v="400"/>
    <n v="400"/>
  </r>
  <r>
    <x v="204"/>
    <s v="Pago Nov - Arcelia Armijo"/>
    <x v="0"/>
    <x v="1"/>
    <n v="1"/>
    <n v="2700"/>
    <n v="2700"/>
  </r>
  <r>
    <x v="204"/>
    <s v="Pago Nov - Hugo"/>
    <x v="3"/>
    <x v="1"/>
    <n v="1"/>
    <n v="3600"/>
    <n v="3600"/>
  </r>
  <r>
    <x v="204"/>
    <s v="Limpieza 30 Nov"/>
    <x v="3"/>
    <x v="1"/>
    <n v="1"/>
    <n v="400"/>
    <n v="400"/>
  </r>
  <r>
    <x v="204"/>
    <s v="Clases de Canto Nahomy Perez"/>
    <x v="3"/>
    <x v="5"/>
    <n v="1"/>
    <n v="1200"/>
    <n v="1200"/>
  </r>
  <r>
    <x v="204"/>
    <s v="Quincena Frank"/>
    <x v="1"/>
    <x v="1"/>
    <n v="1"/>
    <n v="3500"/>
    <n v="3500"/>
  </r>
  <r>
    <x v="204"/>
    <s v="Pago CFE"/>
    <x v="1"/>
    <x v="1"/>
    <n v="1"/>
    <n v="803"/>
    <n v="803"/>
  </r>
  <r>
    <x v="204"/>
    <s v="Comisiones TPV"/>
    <x v="3"/>
    <x v="1"/>
    <n v="1"/>
    <n v="1719.76"/>
    <n v="1719.76"/>
  </r>
  <r>
    <x v="205"/>
    <s v="Mantenimiento Dic"/>
    <x v="3"/>
    <x v="1"/>
    <n v="1"/>
    <n v="684"/>
    <n v="684"/>
  </r>
  <r>
    <x v="205"/>
    <s v="Impresiones reconocimientos"/>
    <x v="3"/>
    <x v="2"/>
    <n v="1"/>
    <n v="145"/>
    <n v="145"/>
  </r>
  <r>
    <x v="205"/>
    <s v="Plumon Permanente"/>
    <x v="3"/>
    <x v="2"/>
    <n v="1"/>
    <n v="25"/>
    <n v="25"/>
  </r>
  <r>
    <x v="205"/>
    <s v="Guillotinado reconocimientos"/>
    <x v="3"/>
    <x v="2"/>
    <n v="1"/>
    <n v="20"/>
    <n v="20"/>
  </r>
  <r>
    <x v="205"/>
    <s v="Papel de baño 1 rollo"/>
    <x v="3"/>
    <x v="2"/>
    <n v="1"/>
    <n v="15"/>
    <n v="15"/>
  </r>
  <r>
    <x v="206"/>
    <s v="Limpieza 9 Dic"/>
    <x v="3"/>
    <x v="1"/>
    <n v="1"/>
    <n v="400"/>
    <n v="400"/>
  </r>
  <r>
    <x v="207"/>
    <s v="Poste de bafle metalico"/>
    <x v="1"/>
    <x v="0"/>
    <n v="2"/>
    <n v="596.22"/>
    <n v="1192.44"/>
  </r>
  <r>
    <x v="208"/>
    <s v="Frank Aguinaldo 2024"/>
    <x v="3"/>
    <x v="1"/>
    <n v="2"/>
    <n v="3500"/>
    <n v="7000"/>
  </r>
  <r>
    <x v="208"/>
    <s v="Limpieza 16 Dic + Aguinaldo 2024"/>
    <x v="3"/>
    <x v="1"/>
    <n v="1"/>
    <n v="1200"/>
    <n v="1200"/>
  </r>
  <r>
    <x v="209"/>
    <s v="Cuerda Ernie Ball"/>
    <x v="3"/>
    <x v="2"/>
    <n v="1"/>
    <n v="35"/>
    <n v="35"/>
  </r>
  <r>
    <x v="210"/>
    <s v="Reconocimiento"/>
    <x v="3"/>
    <x v="2"/>
    <n v="1"/>
    <n v="25"/>
    <n v="25"/>
  </r>
  <r>
    <x v="210"/>
    <s v="Plumas y copia"/>
    <x v="3"/>
    <x v="2"/>
    <n v="1"/>
    <n v="17"/>
    <n v="17"/>
  </r>
  <r>
    <x v="210"/>
    <s v="Papel de baño 1 rollo"/>
    <x v="3"/>
    <x v="2"/>
    <n v="1"/>
    <n v="15"/>
    <n v="15"/>
  </r>
  <r>
    <x v="211"/>
    <s v="Renta Local Diciembre"/>
    <x v="3"/>
    <x v="1"/>
    <n v="1"/>
    <n v="11560"/>
    <n v="11560"/>
  </r>
  <r>
    <x v="211"/>
    <s v="Mantenimiento Enero"/>
    <x v="3"/>
    <x v="1"/>
    <n v="1"/>
    <n v="740"/>
    <n v="740"/>
  </r>
  <r>
    <x v="212"/>
    <s v="Limpieza 23 Dic"/>
    <x v="3"/>
    <x v="1"/>
    <n v="1"/>
    <n v="400"/>
    <n v="400"/>
  </r>
  <r>
    <x v="212"/>
    <s v="Total Play"/>
    <x v="1"/>
    <x v="1"/>
    <n v="1"/>
    <n v="569"/>
    <n v="569"/>
  </r>
  <r>
    <x v="213"/>
    <s v="Hector R Solis Q"/>
    <x v="3"/>
    <x v="1"/>
    <n v="1"/>
    <n v="1500"/>
    <n v="1500"/>
  </r>
  <r>
    <x v="214"/>
    <s v="Quincena Frank"/>
    <x v="3"/>
    <x v="5"/>
    <n v="1"/>
    <n v="3500"/>
    <n v="3500"/>
  </r>
  <r>
    <x v="214"/>
    <s v="Clases de Batería Demian Andrade"/>
    <x v="3"/>
    <x v="5"/>
    <n v="1"/>
    <n v="400"/>
    <n v="400"/>
  </r>
  <r>
    <x v="214"/>
    <s v="Clases de Canto Nahomy Perez"/>
    <x v="3"/>
    <x v="5"/>
    <n v="1"/>
    <n v="650"/>
    <n v="650"/>
  </r>
  <r>
    <x v="214"/>
    <s v="Clases de Teclado Manuel Reyes"/>
    <x v="3"/>
    <x v="5"/>
    <n v="1"/>
    <n v="1050"/>
    <n v="1050"/>
  </r>
  <r>
    <x v="214"/>
    <s v="Sueldos"/>
    <x v="3"/>
    <x v="1"/>
    <n v="1"/>
    <n v="2231"/>
    <n v="2231"/>
  </r>
  <r>
    <x v="214"/>
    <s v="Clases de Bajo Luis Blanquet"/>
    <x v="3"/>
    <x v="5"/>
    <n v="1"/>
    <n v="1050"/>
    <n v="1050"/>
  </r>
  <r>
    <x v="214"/>
    <s v="Clases de Batería Julio Olvera"/>
    <x v="3"/>
    <x v="5"/>
    <n v="1"/>
    <n v="3350"/>
    <n v="3350"/>
  </r>
  <r>
    <x v="214"/>
    <s v="Clases de Guitarra Irwin Hernandez"/>
    <x v="3"/>
    <x v="5"/>
    <n v="1"/>
    <n v="3150"/>
    <n v="3150"/>
  </r>
  <r>
    <x v="214"/>
    <s v="Clases de Guitarra Hugo Vazquez"/>
    <x v="3"/>
    <x v="5"/>
    <n v="1"/>
    <n v="2650"/>
    <n v="2650"/>
  </r>
  <r>
    <x v="214"/>
    <s v="Comisiones TPV"/>
    <x v="3"/>
    <x v="1"/>
    <n v="1"/>
    <n v="1608.92"/>
    <n v="1608.92"/>
  </r>
  <r>
    <x v="215"/>
    <s v="Limpieza 6 Enero"/>
    <x v="3"/>
    <x v="1"/>
    <n v="1"/>
    <n v="400"/>
    <n v="400"/>
  </r>
  <r>
    <x v="216"/>
    <s v="Meta Ads"/>
    <x v="0"/>
    <x v="1"/>
    <n v="1"/>
    <n v="5000"/>
    <n v="5000"/>
  </r>
  <r>
    <x v="217"/>
    <s v="Pedalera"/>
    <x v="2"/>
    <x v="2"/>
    <n v="1"/>
    <n v="1500"/>
    <n v="1500"/>
  </r>
  <r>
    <x v="218"/>
    <s v="Formularios de inscripción y encuestas"/>
    <x v="3"/>
    <x v="2"/>
    <n v="1"/>
    <n v="50"/>
    <n v="50"/>
  </r>
  <r>
    <x v="218"/>
    <s v="Limpieza 14-Ene"/>
    <x v="3"/>
    <x v="1"/>
    <n v="1"/>
    <n v="400"/>
    <n v="400"/>
  </r>
  <r>
    <x v="219"/>
    <s v="Quincena Frank"/>
    <x v="3"/>
    <x v="1"/>
    <n v="1"/>
    <n v="2150"/>
    <n v="2150"/>
  </r>
  <r>
    <x v="219"/>
    <s v="Quincena Frank"/>
    <x v="3"/>
    <x v="2"/>
    <n v="1"/>
    <n v="1350"/>
    <n v="1350"/>
  </r>
  <r>
    <x v="220"/>
    <s v="Papel de baño 4 rollos"/>
    <x v="3"/>
    <x v="2"/>
    <n v="1"/>
    <n v="39"/>
    <n v="39"/>
  </r>
  <r>
    <x v="220"/>
    <s v="Pago CFE"/>
    <x v="1"/>
    <x v="1"/>
    <n v="1"/>
    <n v="812"/>
    <n v="812"/>
  </r>
  <r>
    <x v="221"/>
    <s v="Renta"/>
    <x v="3"/>
    <x v="1"/>
    <n v="1"/>
    <n v="11560"/>
    <n v="11560"/>
  </r>
  <r>
    <x v="221"/>
    <s v="Limpieza 21-Ene"/>
    <x v="3"/>
    <x v="1"/>
    <n v="1"/>
    <n v="400"/>
    <n v="400"/>
  </r>
  <r>
    <x v="222"/>
    <s v="Total Play"/>
    <x v="1"/>
    <x v="1"/>
    <n v="1"/>
    <n v="569"/>
    <n v="569"/>
  </r>
  <r>
    <x v="223"/>
    <s v="Limpieza"/>
    <x v="3"/>
    <x v="1"/>
    <n v="1"/>
    <n v="400"/>
    <n v="400"/>
  </r>
  <r>
    <x v="224"/>
    <s v="Clases de Canto Nahomy Perez"/>
    <x v="3"/>
    <x v="1"/>
    <n v="1"/>
    <n v="480"/>
    <n v="480"/>
  </r>
  <r>
    <x v="224"/>
    <s v="Clases de Batería Julio Olvera"/>
    <x v="3"/>
    <x v="1"/>
    <n v="1"/>
    <n v="3980"/>
    <n v="3980"/>
  </r>
  <r>
    <x v="224"/>
    <s v="Quincena Frank"/>
    <x v="3"/>
    <x v="1"/>
    <n v="1"/>
    <n v="3500"/>
    <n v="3500"/>
  </r>
  <r>
    <x v="224"/>
    <s v="Clases de Teclado Manuel Reyes"/>
    <x v="3"/>
    <x v="1"/>
    <n v="1"/>
    <n v="1280"/>
    <n v="1280"/>
  </r>
  <r>
    <x v="224"/>
    <s v="Clases de Bajo Luis Blanquet"/>
    <x v="3"/>
    <x v="1"/>
    <n v="1"/>
    <n v="800"/>
    <n v="800"/>
  </r>
  <r>
    <x v="224"/>
    <s v="Clases de Batería Demian Andrade"/>
    <x v="3"/>
    <x v="1"/>
    <n v="1"/>
    <n v="800"/>
    <n v="800"/>
  </r>
  <r>
    <x v="224"/>
    <s v="Clases de Guitarra Irwin Hernandez"/>
    <x v="3"/>
    <x v="1"/>
    <n v="1"/>
    <n v="2900"/>
    <n v="2900"/>
  </r>
  <r>
    <x v="224"/>
    <s v="Clases de Guitarra Hugo Vazquez"/>
    <x v="3"/>
    <x v="1"/>
    <n v="1"/>
    <n v="1600"/>
    <n v="1600"/>
  </r>
  <r>
    <x v="224"/>
    <s v="Comisiones TPV"/>
    <x v="3"/>
    <x v="1"/>
    <n v="1"/>
    <n v="1718.54"/>
    <n v="1718.54"/>
  </r>
  <r>
    <x v="225"/>
    <s v="Cuerdas Ernieball"/>
    <x v="3"/>
    <x v="2"/>
    <n v="1"/>
    <n v="70"/>
    <n v="70"/>
  </r>
  <r>
    <x v="226"/>
    <s v="Limpieza 01-Feb"/>
    <x v="3"/>
    <x v="1"/>
    <n v="1"/>
    <n v="400"/>
    <n v="400"/>
  </r>
  <r>
    <x v="226"/>
    <s v="Brocha"/>
    <x v="3"/>
    <x v="2"/>
    <n v="1"/>
    <n v="45"/>
    <n v="45"/>
  </r>
  <r>
    <x v="227"/>
    <s v="3 Multicontactos"/>
    <x v="3"/>
    <x v="2"/>
    <n v="1"/>
    <n v="210"/>
    <n v="210"/>
  </r>
  <r>
    <x v="227"/>
    <s v="Articulos de limpieza"/>
    <x v="3"/>
    <x v="2"/>
    <n v="1"/>
    <n v="87"/>
    <n v="87"/>
  </r>
  <r>
    <x v="228"/>
    <s v="Limpieza 08-Feb"/>
    <x v="3"/>
    <x v="1"/>
    <n v="1"/>
    <n v="400"/>
    <n v="400"/>
  </r>
  <r>
    <x v="229"/>
    <s v="Mantenimiento Febrero"/>
    <x v="3"/>
    <x v="2"/>
    <n v="1"/>
    <n v="792"/>
    <n v="792"/>
  </r>
  <r>
    <x v="230"/>
    <s v="Total Play"/>
    <x v="1"/>
    <x v="1"/>
    <n v="1"/>
    <n v="518.99"/>
    <n v="518.99"/>
  </r>
  <r>
    <x v="231"/>
    <s v="Cuerda 2, Ernieball"/>
    <x v="3"/>
    <x v="2"/>
    <n v="1"/>
    <n v="35"/>
    <n v="35"/>
  </r>
  <r>
    <x v="231"/>
    <s v="Papel de baño"/>
    <x v="3"/>
    <x v="2"/>
    <n v="1"/>
    <n v="45"/>
    <n v="45"/>
  </r>
  <r>
    <x v="231"/>
    <s v="Limpieza 15-Feb"/>
    <x v="3"/>
    <x v="1"/>
    <n v="1"/>
    <n v="400"/>
    <n v="400"/>
  </r>
  <r>
    <x v="231"/>
    <s v="Quincena Frank"/>
    <x v="3"/>
    <x v="1"/>
    <n v="1"/>
    <n v="3500"/>
    <n v="3500"/>
  </r>
  <r>
    <x v="232"/>
    <s v="Limpieza 22-Feb"/>
    <x v="3"/>
    <x v="1"/>
    <n v="1"/>
    <n v="400"/>
    <n v="400"/>
  </r>
  <r>
    <x v="233"/>
    <s v="Renta"/>
    <x v="3"/>
    <x v="1"/>
    <n v="1"/>
    <n v="11560"/>
    <n v="11560"/>
  </r>
  <r>
    <x v="234"/>
    <s v="Comisiones TPV"/>
    <x v="3"/>
    <x v="1"/>
    <n v="1"/>
    <n v="1822.07"/>
    <n v="1822.07"/>
  </r>
  <r>
    <x v="234"/>
    <s v="Quincena Frank"/>
    <x v="3"/>
    <x v="1"/>
    <n v="1"/>
    <n v="3500"/>
    <n v="3500"/>
  </r>
  <r>
    <x v="234"/>
    <s v="Clases de Batería Demian Andrade"/>
    <x v="3"/>
    <x v="1"/>
    <n v="1"/>
    <n v="880"/>
    <n v="880"/>
  </r>
  <r>
    <x v="234"/>
    <s v="Clases de Guitarra Hugo Vazquez"/>
    <x v="3"/>
    <x v="1"/>
    <n v="1"/>
    <n v="1600"/>
    <n v="1600"/>
  </r>
  <r>
    <x v="234"/>
    <s v="Clases de Guitarra Irwin Hernandez"/>
    <x v="3"/>
    <x v="1"/>
    <n v="1"/>
    <n v="2900"/>
    <n v="2900"/>
  </r>
  <r>
    <x v="234"/>
    <s v="Clases de Bajo Luis Blanquet"/>
    <x v="3"/>
    <x v="1"/>
    <n v="1"/>
    <n v="400"/>
    <n v="400"/>
  </r>
  <r>
    <x v="234"/>
    <s v="Clases de Teclado Manuel Reyes"/>
    <x v="3"/>
    <x v="1"/>
    <n v="1"/>
    <n v="1200"/>
    <n v="1200"/>
  </r>
  <r>
    <x v="234"/>
    <s v="Clases de Batería Julio Olvera"/>
    <x v="3"/>
    <x v="1"/>
    <n v="1"/>
    <n v="4300"/>
    <n v="4300"/>
  </r>
  <r>
    <x v="234"/>
    <s v="Clases de Canto Nahomy Perez"/>
    <x v="3"/>
    <x v="1"/>
    <n v="1"/>
    <n v="1200"/>
    <n v="1200"/>
  </r>
  <r>
    <x v="235"/>
    <s v="Limpieza 01-Mar"/>
    <x v="3"/>
    <x v="1"/>
    <n v="1"/>
    <n v="400"/>
    <n v="400"/>
  </r>
  <r>
    <x v="235"/>
    <s v="Pago CFE"/>
    <x v="1"/>
    <x v="1"/>
    <n v="1"/>
    <n v="713"/>
    <n v="713"/>
  </r>
  <r>
    <x v="236"/>
    <s v="Limpieza 08-Mar"/>
    <x v="3"/>
    <x v="1"/>
    <n v="1"/>
    <n v="400"/>
    <n v="400"/>
  </r>
  <r>
    <x v="237"/>
    <s v="Limpieza 15-Mar"/>
    <x v="3"/>
    <x v="1"/>
    <n v="1"/>
    <n v="400"/>
    <n v="400"/>
  </r>
  <r>
    <x v="237"/>
    <s v="Quincena Santiago"/>
    <x v="3"/>
    <x v="1"/>
    <n v="1"/>
    <n v="2250"/>
    <n v="2250"/>
  </r>
  <r>
    <x v="238"/>
    <s v="Total Play"/>
    <x v="1"/>
    <x v="1"/>
    <n v="1"/>
    <n v="519"/>
    <n v="519"/>
  </r>
  <r>
    <x v="239"/>
    <s v="Renta"/>
    <x v="3"/>
    <x v="1"/>
    <n v="1"/>
    <n v="11560"/>
    <n v="11560"/>
  </r>
  <r>
    <x v="240"/>
    <s v="Limpieza 22-Mar"/>
    <x v="3"/>
    <x v="1"/>
    <n v="1"/>
    <n v="400"/>
    <n v="400"/>
  </r>
  <r>
    <x v="240"/>
    <s v="Adelanto involuntario Santiago"/>
    <x v="3"/>
    <x v="1"/>
    <n v="1"/>
    <n v="400"/>
    <n v="400"/>
  </r>
  <r>
    <x v="240"/>
    <s v="Smartphone Motorola Moto G04s"/>
    <x v="1"/>
    <x v="0"/>
    <n v="1"/>
    <n v="1750"/>
    <n v="1750"/>
  </r>
  <r>
    <x v="241"/>
    <s v="Comisiones TPV"/>
    <x v="3"/>
    <x v="1"/>
    <n v="1"/>
    <n v="2110.33"/>
    <n v="2110.33"/>
  </r>
  <r>
    <x v="241"/>
    <s v="Clases de Guitarra Hugo Vazquez"/>
    <x v="3"/>
    <x v="2"/>
    <n v="1"/>
    <n v="1600"/>
    <n v="1600"/>
  </r>
  <r>
    <x v="241"/>
    <s v="Clases de Guitarra Irwin Hernandez"/>
    <x v="3"/>
    <x v="1"/>
    <n v="1"/>
    <n v="4100"/>
    <n v="4100"/>
  </r>
  <r>
    <x v="241"/>
    <s v="Clases de Batería Demian Andrade"/>
    <x v="3"/>
    <x v="1"/>
    <n v="1"/>
    <n v="800"/>
    <n v="800"/>
  </r>
  <r>
    <x v="241"/>
    <s v="Clases de Teclado Manuel Reyes"/>
    <x v="3"/>
    <x v="1"/>
    <n v="1"/>
    <n v="1280"/>
    <n v="1280"/>
  </r>
  <r>
    <x v="241"/>
    <s v="Clases de Bajo Luis Blanquet"/>
    <x v="3"/>
    <x v="1"/>
    <n v="1"/>
    <n v="800"/>
    <n v="800"/>
  </r>
  <r>
    <x v="241"/>
    <s v="Clases de Batería Julio Olvera"/>
    <x v="3"/>
    <x v="1"/>
    <n v="1"/>
    <n v="4380"/>
    <n v="4380"/>
  </r>
  <r>
    <x v="241"/>
    <s v="Clases de Canto Nahomy Perez"/>
    <x v="3"/>
    <x v="1"/>
    <n v="1"/>
    <n v="1200"/>
    <n v="1200"/>
  </r>
  <r>
    <x v="241"/>
    <s v="Quincena Santiago"/>
    <x v="3"/>
    <x v="2"/>
    <n v="1"/>
    <n v="1850"/>
    <n v="1850"/>
  </r>
  <r>
    <x v="242"/>
    <s v="Limpieza 29-Mar"/>
    <x v="3"/>
    <x v="1"/>
    <n v="1"/>
    <n v="400"/>
    <n v="400"/>
  </r>
  <r>
    <x v="243"/>
    <s v="Limpieza 05-Abr"/>
    <x v="3"/>
    <x v="1"/>
    <n v="1"/>
    <n v="400"/>
    <n v="400"/>
  </r>
  <r>
    <x v="244"/>
    <s v="Finiquito Frank"/>
    <x v="3"/>
    <x v="1"/>
    <n v="1"/>
    <n v="600"/>
    <n v="600"/>
  </r>
  <r>
    <x v="244"/>
    <s v="Limpieza 12-Abr"/>
    <x v="3"/>
    <x v="1"/>
    <n v="1"/>
    <n v="400"/>
    <n v="400"/>
  </r>
  <r>
    <x v="245"/>
    <s v="Quincena Santiago"/>
    <x v="3"/>
    <x v="1"/>
    <n v="1"/>
    <n v="2250"/>
    <n v="2250"/>
  </r>
  <r>
    <x v="245"/>
    <s v="Total Play"/>
    <x v="1"/>
    <x v="1"/>
    <n v="1"/>
    <n v="519"/>
    <n v="519"/>
  </r>
  <r>
    <x v="246"/>
    <s v="Renta"/>
    <x v="3"/>
    <x v="1"/>
    <n v="1"/>
    <n v="11560"/>
    <n v="11560"/>
  </r>
  <r>
    <x v="246"/>
    <s v="Limpieza 19-Abr"/>
    <x v="3"/>
    <x v="1"/>
    <n v="1"/>
    <n v="400"/>
    <n v="400"/>
  </r>
  <r>
    <x v="247"/>
    <s v="Limpieza 26-Abr"/>
    <x v="3"/>
    <x v="1"/>
    <n v="1"/>
    <n v="400"/>
    <n v="400"/>
  </r>
  <r>
    <x v="248"/>
    <s v="Comisiones TPV"/>
    <x v="3"/>
    <x v="1"/>
    <n v="1"/>
    <n v="2041.31"/>
    <n v="2041.31"/>
  </r>
  <r>
    <x v="248"/>
    <s v="Clases de Guitarra Hugo Vazquez"/>
    <x v="3"/>
    <x v="1"/>
    <n v="1"/>
    <n v="1200"/>
    <n v="1200"/>
  </r>
  <r>
    <x v="248"/>
    <s v="Clases de Guitarra Irwin Hernandez"/>
    <x v="3"/>
    <x v="1"/>
    <n v="1"/>
    <n v="3700"/>
    <n v="3700"/>
  </r>
  <r>
    <x v="248"/>
    <s v="Clases de Batería Demian Andrade"/>
    <x v="3"/>
    <x v="1"/>
    <n v="1"/>
    <n v="800"/>
    <n v="800"/>
  </r>
  <r>
    <x v="248"/>
    <s v="Clases de Teclado Manuel Reyes"/>
    <x v="3"/>
    <x v="1"/>
    <n v="1"/>
    <n v="800"/>
    <n v="800"/>
  </r>
  <r>
    <x v="248"/>
    <s v="Clases de Bajo Luis Blanquet"/>
    <x v="3"/>
    <x v="1"/>
    <n v="1"/>
    <n v="800"/>
    <n v="800"/>
  </r>
  <r>
    <x v="248"/>
    <s v="Clases de Batería Julio Olvera"/>
    <x v="3"/>
    <x v="1"/>
    <n v="1"/>
    <n v="4860"/>
    <n v="4860"/>
  </r>
  <r>
    <x v="248"/>
    <s v="Clases de Canto Nahomy Perez"/>
    <x v="3"/>
    <x v="1"/>
    <n v="1"/>
    <n v="2000"/>
    <n v="2000"/>
  </r>
  <r>
    <x v="248"/>
    <s v="Quincena Santiago"/>
    <x v="3"/>
    <x v="1"/>
    <n v="1"/>
    <n v="2310"/>
    <n v="2310"/>
  </r>
  <r>
    <x v="249"/>
    <s v="Limpieza 03-May"/>
    <x v="3"/>
    <x v="1"/>
    <n v="1"/>
    <n v="400"/>
    <n v="400"/>
  </r>
  <r>
    <x v="250"/>
    <s v="Pago CFE"/>
    <x v="1"/>
    <x v="1"/>
    <n v="1"/>
    <n v="646"/>
    <n v="646"/>
  </r>
  <r>
    <x v="251"/>
    <s v="Prestamo Hugo"/>
    <x v="3"/>
    <x v="1"/>
    <n v="1"/>
    <n v="3000"/>
    <n v="3000"/>
  </r>
  <r>
    <x v="252"/>
    <s v="Meta Ads"/>
    <x v="3"/>
    <x v="1"/>
    <n v="1"/>
    <n v="4500"/>
    <n v="4500"/>
  </r>
  <r>
    <x v="253"/>
    <s v="Limpieza 10-May"/>
    <x v="3"/>
    <x v="1"/>
    <n v="1"/>
    <n v="400"/>
    <n v="400"/>
  </r>
  <r>
    <x v="254"/>
    <s v="Quincena Santiago"/>
    <x v="3"/>
    <x v="1"/>
    <n v="1"/>
    <n v="2250"/>
    <n v="2250"/>
  </r>
  <r>
    <x v="255"/>
    <s v="Limpieza 17-May"/>
    <x v="3"/>
    <x v="1"/>
    <n v="1"/>
    <n v="400"/>
    <n v="400"/>
  </r>
  <r>
    <x v="256"/>
    <s v="Total Play"/>
    <x v="3"/>
    <x v="1"/>
    <n v="1"/>
    <n v="620"/>
    <n v="620"/>
  </r>
  <r>
    <x v="257"/>
    <s v="Renta Local"/>
    <x v="3"/>
    <x v="1"/>
    <n v="1"/>
    <n v="11560"/>
    <n v="11560"/>
  </r>
  <r>
    <x v="257"/>
    <s v="Limpieza 24-May"/>
    <x v="3"/>
    <x v="1"/>
    <n v="1"/>
    <n v="400"/>
    <n v="400"/>
  </r>
  <r>
    <x v="258"/>
    <s v="Clases de Batería Demian Andrade"/>
    <x v="3"/>
    <x v="1"/>
    <n v="1"/>
    <n v="800"/>
    <n v="800"/>
  </r>
  <r>
    <x v="258"/>
    <s v="Clases de Bajo Luis Blanquet"/>
    <x v="3"/>
    <x v="1"/>
    <n v="1"/>
    <n v="800"/>
    <n v="800"/>
  </r>
  <r>
    <x v="258"/>
    <s v="Clases de Teclado Manuel Reyes"/>
    <x v="3"/>
    <x v="1"/>
    <n v="1"/>
    <n v="880"/>
    <n v="880"/>
  </r>
  <r>
    <x v="258"/>
    <s v="Clases de Guitarra Irwin Hernandez"/>
    <x v="3"/>
    <x v="1"/>
    <n v="1"/>
    <n v="5300"/>
    <n v="5300"/>
  </r>
  <r>
    <x v="258"/>
    <s v="Clases de Canto Nahomy Perez"/>
    <x v="3"/>
    <x v="1"/>
    <n v="1"/>
    <n v="2000"/>
    <n v="2000"/>
  </r>
  <r>
    <x v="258"/>
    <s v="Clases de Batería Julio Olvera"/>
    <x v="3"/>
    <x v="1"/>
    <n v="1"/>
    <n v="5100"/>
    <n v="5100"/>
  </r>
  <r>
    <x v="258"/>
    <s v="Clases de Guitarra Hugo Vazquez"/>
    <x v="3"/>
    <x v="2"/>
    <n v="1"/>
    <n v="1200"/>
    <n v="1200"/>
  </r>
  <r>
    <x v="258"/>
    <s v="Comisiones TPV"/>
    <x v="3"/>
    <x v="1"/>
    <n v="1"/>
    <n v="2313.3200000000002"/>
    <n v="2313.3200000000002"/>
  </r>
  <r>
    <x v="258"/>
    <s v="Quincena Santiago"/>
    <x v="3"/>
    <x v="2"/>
    <n v="1"/>
    <n v="2250"/>
    <n v="2250"/>
  </r>
  <r>
    <x v="258"/>
    <s v="Marketing Emiliano Rosas"/>
    <x v="0"/>
    <x v="1"/>
    <n v="1"/>
    <n v="2500"/>
    <n v="2500"/>
  </r>
  <r>
    <x v="259"/>
    <s v="Limpieza 07-Jun"/>
    <x v="3"/>
    <x v="1"/>
    <n v="1"/>
    <n v="400"/>
    <n v="400"/>
  </r>
  <r>
    <x v="260"/>
    <s v="Quincena Santiago"/>
    <x v="3"/>
    <x v="1"/>
    <n v="1"/>
    <n v="2250"/>
    <n v="2250"/>
  </r>
  <r>
    <x v="260"/>
    <s v="Limpieza 14-Jun"/>
    <x v="3"/>
    <x v="1"/>
    <n v="1"/>
    <n v="400"/>
    <n v="400"/>
  </r>
  <r>
    <x v="261"/>
    <s v="Total Play"/>
    <x v="3"/>
    <x v="1"/>
    <n v="1"/>
    <n v="620"/>
    <n v="620"/>
  </r>
  <r>
    <x v="262"/>
    <s v="Renta Local"/>
    <x v="3"/>
    <x v="1"/>
    <n v="1"/>
    <n v="11560"/>
    <n v="11560"/>
  </r>
  <r>
    <x v="263"/>
    <s v="Limpieza 21-Jun"/>
    <x v="3"/>
    <x v="1"/>
    <n v="1"/>
    <n v="400"/>
    <n v="400"/>
  </r>
  <r>
    <x v="263"/>
    <s v="Cables XLR"/>
    <x v="3"/>
    <x v="2"/>
    <n v="8"/>
    <n v="400"/>
    <n v="3200"/>
  </r>
  <r>
    <x v="263"/>
    <s v="Plumones"/>
    <x v="3"/>
    <x v="2"/>
    <n v="1"/>
    <n v="200"/>
    <n v="200"/>
  </r>
  <r>
    <x v="264"/>
    <s v="Mantenimiento de Junio y Julio"/>
    <x v="3"/>
    <x v="2"/>
    <n v="2"/>
    <n v="762"/>
    <n v="1524"/>
  </r>
  <r>
    <x v="264"/>
    <s v="Papel Higienico"/>
    <x v="3"/>
    <x v="2"/>
    <n v="2"/>
    <n v="39"/>
    <n v="78"/>
  </r>
  <r>
    <x v="264"/>
    <s v="25 Juegos de Inscripción"/>
    <x v="3"/>
    <x v="2"/>
    <n v="1"/>
    <n v="31"/>
    <n v="31"/>
  </r>
  <r>
    <x v="264"/>
    <s v="Corrector de cinta"/>
    <x v="3"/>
    <x v="2"/>
    <n v="1"/>
    <n v="31"/>
    <n v="31"/>
  </r>
  <r>
    <x v="264"/>
    <s v="Comisiones TPV"/>
    <x v="3"/>
    <x v="1"/>
    <n v="1"/>
    <n v="2875.64"/>
    <n v="2875.64"/>
  </r>
  <r>
    <x v="264"/>
    <s v="Quincena Santiago"/>
    <x v="3"/>
    <x v="2"/>
    <n v="1"/>
    <n v="2250"/>
    <n v="2250"/>
  </r>
  <r>
    <x v="264"/>
    <s v="Clases de Guitarra Hugo Vazquez"/>
    <x v="3"/>
    <x v="1"/>
    <n v="1"/>
    <n v="800"/>
    <n v="800"/>
  </r>
  <r>
    <x v="264"/>
    <s v="Clases de Teclado Manuel Reyes"/>
    <x v="3"/>
    <x v="1"/>
    <n v="1"/>
    <n v="2400"/>
    <n v="2400"/>
  </r>
  <r>
    <x v="264"/>
    <s v="Clases de Guitarra Irwin Hernandez"/>
    <x v="3"/>
    <x v="1"/>
    <n v="1"/>
    <n v="6980"/>
    <n v="6980"/>
  </r>
  <r>
    <x v="264"/>
    <s v="Clases de Bajo Luis Blanquet"/>
    <x v="3"/>
    <x v="1"/>
    <n v="1"/>
    <n v="800"/>
    <n v="800"/>
  </r>
  <r>
    <x v="264"/>
    <s v="Clases de Batería Demian Andrade"/>
    <x v="3"/>
    <x v="1"/>
    <n v="1"/>
    <n v="2080"/>
    <n v="2080"/>
  </r>
  <r>
    <x v="264"/>
    <s v="Marketing Emiliano Rosas"/>
    <x v="3"/>
    <x v="1"/>
    <n v="1"/>
    <n v="2500"/>
    <n v="2500"/>
  </r>
  <r>
    <x v="264"/>
    <s v="Clases de Batería Julio Olvera"/>
    <x v="3"/>
    <x v="1"/>
    <n v="1"/>
    <n v="4860"/>
    <n v="4860"/>
  </r>
  <r>
    <x v="264"/>
    <s v="Clases de Canto Nahomy Perez"/>
    <x v="3"/>
    <x v="2"/>
    <n v="1"/>
    <n v="2640"/>
    <n v="2640"/>
  </r>
  <r>
    <x v="265"/>
    <s v="Limpieza 28-Jun"/>
    <x v="3"/>
    <x v="1"/>
    <n v="1"/>
    <n v="400"/>
    <n v="400"/>
  </r>
  <r>
    <x v="266"/>
    <s v="Limpieza 05-Jul"/>
    <x v="3"/>
    <x v="1"/>
    <n v="1"/>
    <n v="400"/>
    <n v="400"/>
  </r>
  <r>
    <x v="267"/>
    <s v="Meta Ads"/>
    <x v="3"/>
    <x v="1"/>
    <n v="1"/>
    <n v="5000"/>
    <n v="5000"/>
  </r>
  <r>
    <x v="268"/>
    <s v="Quincena Santiago"/>
    <x v="3"/>
    <x v="2"/>
    <n v="1"/>
    <n v="2250"/>
    <n v="2250"/>
  </r>
  <r>
    <x v="269"/>
    <s v="Limpieza 12-Jul"/>
    <x v="3"/>
    <x v="1"/>
    <n v="1"/>
    <n v="400"/>
    <n v="400"/>
  </r>
  <r>
    <x v="269"/>
    <s v="Total Play"/>
    <x v="3"/>
    <x v="1"/>
    <n v="1"/>
    <n v="569.99"/>
    <n v="569.99"/>
  </r>
  <r>
    <x v="269"/>
    <s v="Pago CFE"/>
    <x v="3"/>
    <x v="1"/>
    <n v="1"/>
    <n v="659"/>
    <n v="659"/>
  </r>
  <r>
    <x v="270"/>
    <s v="Limpieza 19-Jul"/>
    <x v="3"/>
    <x v="1"/>
    <n v="1"/>
    <n v="400"/>
    <n v="400"/>
  </r>
  <r>
    <x v="270"/>
    <s v="Carpeta y hojas"/>
    <x v="3"/>
    <x v="2"/>
    <n v="1"/>
    <n v="21"/>
    <n v="21"/>
  </r>
  <r>
    <x v="271"/>
    <s v="Pago Renta Mes Julio"/>
    <x v="3"/>
    <x v="1"/>
    <n v="1"/>
    <n v="11560"/>
    <n v="11560"/>
  </r>
  <r>
    <x v="271"/>
    <s v="Pago Renta Mes Agosto"/>
    <x v="3"/>
    <x v="1"/>
    <n v="1"/>
    <n v="11560"/>
    <n v="11560"/>
  </r>
  <r>
    <x v="272"/>
    <s v="Teclado Alesis 88 teclas 480 sonidos MIDI"/>
    <x v="3"/>
    <x v="1"/>
    <n v="1"/>
    <n v="3999"/>
    <n v="3999"/>
  </r>
  <r>
    <x v="273"/>
    <s v="Mantenimiento Guitarras"/>
    <x v="3"/>
    <x v="2"/>
    <n v="1"/>
    <n v="2200"/>
    <n v="2200"/>
  </r>
  <r>
    <x v="274"/>
    <s v="Limpieza 26-Jul"/>
    <x v="3"/>
    <x v="1"/>
    <n v="1"/>
    <n v="400"/>
    <n v="400"/>
  </r>
  <r>
    <x v="275"/>
    <s v="Articulos de limpieza"/>
    <x v="3"/>
    <x v="2"/>
    <n v="1"/>
    <n v="143"/>
    <n v="143"/>
  </r>
  <r>
    <x v="275"/>
    <s v="Papel Higienico"/>
    <x v="3"/>
    <x v="2"/>
    <n v="1"/>
    <n v="85"/>
    <n v="85"/>
  </r>
  <r>
    <x v="275"/>
    <s v="Quincena Santiago"/>
    <x v="3"/>
    <x v="2"/>
    <n v="1"/>
    <n v="2250"/>
    <n v="2250"/>
  </r>
  <r>
    <x v="275"/>
    <s v="Comisiones TPV"/>
    <x v="3"/>
    <x v="1"/>
    <n v="1"/>
    <n v="3155.78"/>
    <n v="3155.78"/>
  </r>
  <r>
    <x v="275"/>
    <s v="MKT Emiliano Rosas"/>
    <x v="3"/>
    <x v="1"/>
    <n v="1"/>
    <n v="2500"/>
    <n v="2500"/>
  </r>
  <r>
    <x v="275"/>
    <s v="Clase de muestra Teclado"/>
    <x v="3"/>
    <x v="1"/>
    <n v="4"/>
    <n v="80"/>
    <n v="320"/>
  </r>
  <r>
    <x v="275"/>
    <s v="Clase de muestra Guitarra (Irwin)"/>
    <x v="3"/>
    <x v="1"/>
    <n v="5"/>
    <n v="80"/>
    <n v="400"/>
  </r>
  <r>
    <x v="275"/>
    <s v="Clase de muestra Canto"/>
    <x v="3"/>
    <x v="1"/>
    <n v="1"/>
    <n v="80"/>
    <n v="80"/>
  </r>
  <r>
    <x v="275"/>
    <s v="Clase de muestra Bajo"/>
    <x v="3"/>
    <x v="1"/>
    <n v="1"/>
    <n v="80"/>
    <n v="80"/>
  </r>
  <r>
    <x v="275"/>
    <s v="Clases de muestra Bateria (Demian)"/>
    <x v="3"/>
    <x v="1"/>
    <n v="2"/>
    <n v="80"/>
    <n v="160"/>
  </r>
  <r>
    <x v="275"/>
    <s v="Clases de muestra Guitarra (Hugo)"/>
    <x v="3"/>
    <x v="1"/>
    <n v="2"/>
    <n v="80"/>
    <n v="160"/>
  </r>
  <r>
    <x v="275"/>
    <s v="Clases de Teclado Manuel Reyes"/>
    <x v="3"/>
    <x v="1"/>
    <n v="1"/>
    <n v="1600"/>
    <n v="1600"/>
  </r>
  <r>
    <x v="275"/>
    <s v="Clases de Guitarra Hugo Vazquez"/>
    <x v="3"/>
    <x v="1"/>
    <n v="1"/>
    <n v="1600"/>
    <n v="1600"/>
  </r>
  <r>
    <x v="275"/>
    <s v="Clases de Guitarra Irwin Hernandez"/>
    <x v="3"/>
    <x v="1"/>
    <n v="1"/>
    <n v="7700"/>
    <n v="7700"/>
  </r>
  <r>
    <x v="275"/>
    <s v="Clases de Bajo Luis Blanquet"/>
    <x v="3"/>
    <x v="1"/>
    <n v="1"/>
    <n v="880"/>
    <n v="800"/>
  </r>
  <r>
    <x v="275"/>
    <s v="Clases de Canto Nahomy Perez"/>
    <x v="3"/>
    <x v="1"/>
    <n v="1"/>
    <n v="2400"/>
    <n v="2400"/>
  </r>
  <r>
    <x v="275"/>
    <s v="Clases de Batería Julio Olvera"/>
    <x v="3"/>
    <x v="1"/>
    <n v="1"/>
    <n v="5100"/>
    <n v="5100"/>
  </r>
  <r>
    <x v="275"/>
    <s v="Clases de Bateria Demian Andrade"/>
    <x v="3"/>
    <x v="1"/>
    <n v="1"/>
    <n v="2000"/>
    <n v="2000"/>
  </r>
  <r>
    <x v="276"/>
    <s v="Limpieza 02-Ago"/>
    <x v="3"/>
    <x v="1"/>
    <n v="1"/>
    <n v="400"/>
    <n v="400"/>
  </r>
  <r>
    <x v="277"/>
    <s v="Limpieza 09-Ago"/>
    <x v="3"/>
    <x v="1"/>
    <n v="1"/>
    <n v="400"/>
    <n v="400"/>
  </r>
  <r>
    <x v="277"/>
    <s v="Luthier y cuerdas guitarra Washburn"/>
    <x v="3"/>
    <x v="1"/>
    <n v="1"/>
    <n v="700"/>
    <n v="700"/>
  </r>
  <r>
    <x v="278"/>
    <s v="Mantenimiento y agua"/>
    <x v="3"/>
    <x v="2"/>
    <n v="1"/>
    <n v="792"/>
    <n v="792"/>
  </r>
  <r>
    <x v="278"/>
    <s v="Honorarios Contadora Rocio"/>
    <x v="3"/>
    <x v="1"/>
    <n v="1"/>
    <n v="15000"/>
    <n v="15000"/>
  </r>
  <r>
    <x v="278"/>
    <s v="Resistol 5000 tubo"/>
    <x v="3"/>
    <x v="2"/>
    <n v="1"/>
    <n v="60"/>
    <n v="60"/>
  </r>
  <r>
    <x v="278"/>
    <s v="Total Play"/>
    <x v="3"/>
    <x v="2"/>
    <n v="1"/>
    <n v="570"/>
    <n v="570"/>
  </r>
  <r>
    <x v="279"/>
    <s v="Quincena Santiago"/>
    <x v="3"/>
    <x v="2"/>
    <n v="1"/>
    <n v="2250"/>
    <n v="2250"/>
  </r>
  <r>
    <x v="280"/>
    <s v="Mantenimiento mezcladora Yamaha"/>
    <x v="3"/>
    <x v="1"/>
    <n v="1"/>
    <n v="2150"/>
    <n v="2150"/>
  </r>
  <r>
    <x v="281"/>
    <s v="Camara de seguridad WiFi Foco HD Nocturna"/>
    <x v="3"/>
    <x v="1"/>
    <n v="1"/>
    <n v="447.44"/>
    <n v="447.44"/>
  </r>
  <r>
    <x v="281"/>
    <s v="Limpieza 16-Ago"/>
    <x v="3"/>
    <x v="1"/>
    <n v="1"/>
    <n v="400"/>
    <n v="400"/>
  </r>
  <r>
    <x v="282"/>
    <s v="Limpieza 23-Ago"/>
    <x v="3"/>
    <x v="1"/>
    <n v="1"/>
    <n v="400"/>
    <n v="400"/>
  </r>
  <r>
    <x v="282"/>
    <s v="Meta Ads"/>
    <x v="3"/>
    <x v="1"/>
    <n v="1"/>
    <n v="5000"/>
    <n v="5000"/>
  </r>
  <r>
    <x v="283"/>
    <s v="Limpieza 30-Ago"/>
    <x v="3"/>
    <x v="1"/>
    <n v="1"/>
    <n v="400"/>
    <n v="400"/>
  </r>
  <r>
    <x v="283"/>
    <s v="Quincena Santiago"/>
    <x v="3"/>
    <x v="2"/>
    <n v="1"/>
    <n v="2250"/>
    <n v="2250"/>
  </r>
  <r>
    <x v="284"/>
    <s v="Comisiones TPV"/>
    <x v="3"/>
    <x v="1"/>
    <n v="1"/>
    <n v="2619.86"/>
    <n v="2619.86"/>
  </r>
  <r>
    <x v="284"/>
    <s v="MKT Emiliano Rosas"/>
    <x v="3"/>
    <x v="1"/>
    <n v="1"/>
    <n v="2500"/>
    <n v="2500"/>
  </r>
  <r>
    <x v="284"/>
    <s v="Clases de Guitarra Hugo Vazquez"/>
    <x v="3"/>
    <x v="1"/>
    <n v="1"/>
    <n v="1600"/>
    <n v="1600"/>
  </r>
  <r>
    <x v="284"/>
    <s v="Clases de Guitarra Irwin Hernandez"/>
    <x v="3"/>
    <x v="1"/>
    <n v="1"/>
    <n v="5700"/>
    <n v="5700"/>
  </r>
  <r>
    <x v="284"/>
    <s v="Clases de Bajo Luis Blanquet"/>
    <x v="3"/>
    <x v="1"/>
    <n v="1"/>
    <n v="800"/>
    <n v="800"/>
  </r>
  <r>
    <x v="284"/>
    <s v="Clases de Teclado Manuel Reyes"/>
    <x v="3"/>
    <x v="1"/>
    <n v="1"/>
    <n v="1200"/>
    <n v="1200"/>
  </r>
  <r>
    <x v="284"/>
    <s v="Clases de Canto Nahomy Perez"/>
    <x v="3"/>
    <x v="1"/>
    <n v="1"/>
    <n v="800"/>
    <n v="800"/>
  </r>
  <r>
    <x v="284"/>
    <s v="Clases de Batería Demian Andrade"/>
    <x v="3"/>
    <x v="1"/>
    <n v="1"/>
    <n v="1200"/>
    <n v="1200"/>
  </r>
  <r>
    <x v="284"/>
    <s v="Clases de Batería Julio Olvera"/>
    <x v="3"/>
    <x v="1"/>
    <n v="1"/>
    <n v="5580"/>
    <n v="5580"/>
  </r>
  <r>
    <x v="285"/>
    <s v="Prestamo Hugo"/>
    <x v="3"/>
    <x v="1"/>
    <n v="1"/>
    <n v="7000"/>
    <n v="7000"/>
  </r>
  <r>
    <x v="286"/>
    <s v="Mantenimiento y agua"/>
    <x v="3"/>
    <x v="2"/>
    <n v="1"/>
    <n v="732"/>
    <n v="732"/>
  </r>
  <r>
    <x v="286"/>
    <s v="15 fotocopias reglamento de la escuela"/>
    <x v="3"/>
    <x v="2"/>
    <n v="1"/>
    <n v="20"/>
    <n v="20"/>
  </r>
  <r>
    <x v="286"/>
    <s v="2 paquetes de rollos de papel higienico"/>
    <x v="3"/>
    <x v="2"/>
    <n v="1"/>
    <n v="56"/>
    <n v="56"/>
  </r>
  <r>
    <x v="286"/>
    <s v="Clases de Teclado Harim Lopez"/>
    <x v="3"/>
    <x v="1"/>
    <n v="1"/>
    <n v="400"/>
    <n v="400"/>
  </r>
  <r>
    <x v="287"/>
    <s v="Limpieza 06-Sept"/>
    <x v="3"/>
    <x v="1"/>
    <n v="1"/>
    <n v="400"/>
    <n v="400"/>
  </r>
  <r>
    <x v="288"/>
    <s v="Pago CFE"/>
    <x v="3"/>
    <x v="1"/>
    <n v="1"/>
    <n v="672"/>
    <n v="672"/>
  </r>
  <r>
    <x v="289"/>
    <s v="Quincena Santiago"/>
    <x v="3"/>
    <x v="1"/>
    <n v="1"/>
    <n v="2250"/>
    <n v="2250"/>
  </r>
  <r>
    <x v="289"/>
    <s v="Finiquito Santiago"/>
    <x v="3"/>
    <x v="1"/>
    <n v="1"/>
    <n v="1950"/>
    <n v="1950"/>
  </r>
  <r>
    <x v="289"/>
    <s v="Limpieza 13-Sept"/>
    <x v="3"/>
    <x v="1"/>
    <n v="1"/>
    <n v="400"/>
    <n v="400"/>
  </r>
  <r>
    <x v="290"/>
    <s v="Total Play"/>
    <x v="3"/>
    <x v="1"/>
    <n v="1"/>
    <n v="620.01"/>
    <n v="620.01"/>
  </r>
  <r>
    <x v="291"/>
    <s v="Pago Renta Mes Septiembre"/>
    <x v="3"/>
    <x v="1"/>
    <n v="1"/>
    <n v="11560"/>
    <n v="11560"/>
  </r>
  <r>
    <x v="292"/>
    <s v="Transporte para visitar alcaldía"/>
    <x v="3"/>
    <x v="2"/>
    <n v="1"/>
    <n v="50"/>
    <n v="50"/>
  </r>
  <r>
    <x v="292"/>
    <s v="Limpieza 20-Sept"/>
    <x v="3"/>
    <x v="1"/>
    <n v="1"/>
    <n v="400"/>
    <n v="400"/>
  </r>
  <r>
    <x v="293"/>
    <s v="Comisiones TPV"/>
    <x v="3"/>
    <x v="1"/>
    <n v="1"/>
    <n v="3128.38"/>
    <n v="3128.38"/>
  </r>
  <r>
    <x v="293"/>
    <s v="Quincena Ximena"/>
    <x v="3"/>
    <x v="2"/>
    <n v="1"/>
    <n v="2750"/>
    <n v="2750"/>
  </r>
  <r>
    <x v="293"/>
    <s v="Limpieza 27-Sept"/>
    <x v="3"/>
    <x v="1"/>
    <n v="1"/>
    <n v="400"/>
    <n v="400"/>
  </r>
  <r>
    <x v="293"/>
    <s v="Clases de Batería Demian Andrade"/>
    <x v="3"/>
    <x v="1"/>
    <n v="1"/>
    <n v="2000"/>
    <n v="2000"/>
  </r>
  <r>
    <x v="293"/>
    <s v="Clases de Batería Julio Olvera"/>
    <x v="3"/>
    <x v="1"/>
    <n v="1"/>
    <n v="5500"/>
    <n v="5500"/>
  </r>
  <r>
    <x v="293"/>
    <s v="Clases de Guitarra Hugo Vazquez"/>
    <x v="3"/>
    <x v="1"/>
    <n v="1"/>
    <n v="1600"/>
    <n v="1600"/>
  </r>
  <r>
    <x v="293"/>
    <s v="Clases de Guitarra Irwin Hernandez"/>
    <x v="3"/>
    <x v="1"/>
    <n v="1"/>
    <n v="8100"/>
    <n v="8100"/>
  </r>
  <r>
    <x v="293"/>
    <s v="Clases de Teclado Manuel Reyes"/>
    <x v="3"/>
    <x v="1"/>
    <n v="1"/>
    <n v="1200"/>
    <n v="1200"/>
  </r>
  <r>
    <x v="293"/>
    <s v="Clases de Teclado Harim Lopez"/>
    <x v="3"/>
    <x v="1"/>
    <n v="1"/>
    <n v="1200"/>
    <n v="1200"/>
  </r>
  <r>
    <x v="293"/>
    <s v="Clases de Canto Nahomy Perez"/>
    <x v="3"/>
    <x v="1"/>
    <n v="1"/>
    <n v="2000"/>
    <n v="2000"/>
  </r>
  <r>
    <x v="293"/>
    <s v="Clases de Bajo Luis Blanquet"/>
    <x v="3"/>
    <x v="1"/>
    <n v="1"/>
    <n v="800"/>
    <n v="800"/>
  </r>
  <r>
    <x v="293"/>
    <s v="MKT Emiliano Rosas"/>
    <x v="3"/>
    <x v="1"/>
    <n v="1"/>
    <n v="2500"/>
    <n v="2500"/>
  </r>
  <r>
    <x v="294"/>
    <s v="Limpíeza 04-Oct"/>
    <x v="3"/>
    <x v="1"/>
    <n v="1"/>
    <n v="400"/>
    <n v="400"/>
  </r>
  <r>
    <x v="295"/>
    <s v="Paquete de rollos de papel higienico"/>
    <x v="3"/>
    <x v="2"/>
    <n v="1"/>
    <n v="70"/>
    <n v="70"/>
  </r>
  <r>
    <x v="295"/>
    <s v="Jabon liquido para manos"/>
    <x v="3"/>
    <x v="2"/>
    <n v="1"/>
    <n v="29"/>
    <n v="29"/>
  </r>
  <r>
    <x v="296"/>
    <s v="Mantenimiento"/>
    <x v="3"/>
    <x v="2"/>
    <n v="1"/>
    <n v="792"/>
    <n v="792"/>
  </r>
  <r>
    <x v="297"/>
    <s v="Limpieza 11-Oct"/>
    <x v="3"/>
    <x v="1"/>
    <n v="1"/>
    <n v="400"/>
    <n v="400"/>
  </r>
  <r>
    <x v="298"/>
    <s v="Total Play"/>
    <x v="1"/>
    <x v="1"/>
    <n v="1"/>
    <n v="620"/>
    <n v="620"/>
  </r>
  <r>
    <x v="299"/>
    <s v="Limpieza 18-Oct"/>
    <x v="3"/>
    <x v="1"/>
    <n v="1"/>
    <n v="400"/>
    <n v="400"/>
  </r>
  <r>
    <x v="299"/>
    <s v="Honorarios Contadora Rocio"/>
    <x v="3"/>
    <x v="1"/>
    <n v="1"/>
    <n v="15000"/>
    <n v="15000"/>
  </r>
  <r>
    <x v="300"/>
    <s v="Meta Ads"/>
    <x v="3"/>
    <x v="1"/>
    <n v="1"/>
    <n v="5000"/>
    <n v="5000"/>
  </r>
  <r>
    <x v="300"/>
    <s v="Renta Local"/>
    <x v="3"/>
    <x v="1"/>
    <n v="1"/>
    <n v="11560"/>
    <n v="11560"/>
  </r>
  <r>
    <x v="301"/>
    <s v="Limpieza 25-Oct"/>
    <x v="3"/>
    <x v="1"/>
    <n v="1"/>
    <n v="400"/>
    <n v="400"/>
  </r>
  <r>
    <x v="302"/>
    <s v="Saldo del celular"/>
    <x v="3"/>
    <x v="2"/>
    <n v="1"/>
    <n v="50"/>
    <n v="50"/>
  </r>
  <r>
    <x v="302"/>
    <s v="Clases de Batería Demian Andrade"/>
    <x v="3"/>
    <x v="1"/>
    <n v="1"/>
    <n v="2400"/>
    <n v="2400"/>
  </r>
  <r>
    <x v="302"/>
    <s v="Clases de Teclado Harim Lopez"/>
    <x v="3"/>
    <x v="1"/>
    <n v="1"/>
    <n v="2000"/>
    <n v="2000"/>
  </r>
  <r>
    <x v="302"/>
    <s v="Clases de Guitarra Hugo Vazquez"/>
    <x v="3"/>
    <x v="1"/>
    <n v="1"/>
    <n v="1600"/>
    <n v="1600"/>
  </r>
  <r>
    <x v="302"/>
    <s v="Clases de Guitarra Irwin Hernandez"/>
    <x v="3"/>
    <x v="1"/>
    <n v="1"/>
    <n v="8100"/>
    <n v="8100"/>
  </r>
  <r>
    <x v="302"/>
    <s v="Clases de Batería Julio Olvera"/>
    <x v="3"/>
    <x v="1"/>
    <n v="1"/>
    <n v="6300"/>
    <n v="6300"/>
  </r>
  <r>
    <x v="302"/>
    <s v="Clases de Bajo Luis Blanquet"/>
    <x v="3"/>
    <x v="1"/>
    <n v="1"/>
    <n v="800"/>
    <n v="800"/>
  </r>
  <r>
    <x v="302"/>
    <s v="Clases de Teclado Manuel Reyes"/>
    <x v="3"/>
    <x v="1"/>
    <n v="1"/>
    <n v="1200"/>
    <n v="1200"/>
  </r>
  <r>
    <x v="302"/>
    <s v="Clases de Canto Nahomy Perez"/>
    <x v="3"/>
    <x v="1"/>
    <n v="1"/>
    <n v="2400"/>
    <n v="2400"/>
  </r>
  <r>
    <x v="302"/>
    <s v="Marketing Emiliano Rosas"/>
    <x v="3"/>
    <x v="1"/>
    <n v="1"/>
    <n v="2500"/>
    <n v="2500"/>
  </r>
  <r>
    <x v="302"/>
    <s v="Comisiones TPV"/>
    <x v="3"/>
    <x v="1"/>
    <n v="1"/>
    <n v="3295.85"/>
    <n v="3295.85"/>
  </r>
  <r>
    <x v="302"/>
    <s v="Quincena Ximena"/>
    <x v="3"/>
    <x v="1"/>
    <n v="1"/>
    <n v="2500"/>
    <n v="2500"/>
  </r>
  <r>
    <x v="302"/>
    <s v="Quincena Ximena"/>
    <x v="3"/>
    <x v="2"/>
    <n v="1"/>
    <n v="3000"/>
    <n v="3000"/>
  </r>
  <r>
    <x v="303"/>
    <s v="Mantenimiento"/>
    <x v="3"/>
    <x v="2"/>
    <n v="1"/>
    <n v="732"/>
    <n v="732"/>
  </r>
  <r>
    <x v="304"/>
    <s v="Prestamo Juan Antonio"/>
    <x v="3"/>
    <x v="1"/>
    <n v="1"/>
    <n v="30000"/>
    <n v="30000"/>
  </r>
  <r>
    <x v="305"/>
    <s v="Limpieza 01-Nov"/>
    <x v="3"/>
    <x v="1"/>
    <n v="1"/>
    <n v="400"/>
    <n v="400"/>
  </r>
  <r>
    <x v="306"/>
    <s v="Pago CFE"/>
    <x v="3"/>
    <x v="1"/>
    <n v="1"/>
    <n v="735"/>
    <n v="735"/>
  </r>
  <r>
    <x v="307"/>
    <s v="PADs para Batería 8&quot;"/>
    <x v="3"/>
    <x v="1"/>
    <n v="1"/>
    <n v="1600"/>
    <n v="1600"/>
  </r>
  <r>
    <x v="308"/>
    <s v="Limpieza 08-Nov"/>
    <x v="3"/>
    <x v="1"/>
    <n v="1"/>
    <n v="400"/>
    <n v="400"/>
  </r>
  <r>
    <x v="308"/>
    <s v="Total Play"/>
    <x v="3"/>
    <x v="1"/>
    <n v="1"/>
    <n v="660.01"/>
    <n v="660.01"/>
  </r>
  <r>
    <x v="309"/>
    <s v="Zoom Communications, anualidad"/>
    <x v="3"/>
    <x v="1"/>
    <n v="1"/>
    <n v="2453.3000000000002"/>
    <n v="2453.3000000000002"/>
  </r>
  <r>
    <x v="310"/>
    <s v="Limpieza 15-Nov"/>
    <x v="3"/>
    <x v="1"/>
    <n v="1"/>
    <n v="400"/>
    <n v="400"/>
  </r>
  <r>
    <x v="311"/>
    <s v="Renta Local"/>
    <x v="3"/>
    <x v="1"/>
    <n v="1"/>
    <n v="11560"/>
    <n v="11560"/>
  </r>
  <r>
    <x v="311"/>
    <s v="Saldo de Celular"/>
    <x v="3"/>
    <x v="2"/>
    <n v="1"/>
    <n v="50"/>
    <n v="50"/>
  </r>
  <r>
    <x v="312"/>
    <s v="Paquete de rollos de papel higienico"/>
    <x v="3"/>
    <x v="2"/>
    <n v="1"/>
    <n v="53"/>
    <n v="53"/>
  </r>
  <r>
    <x v="313"/>
    <s v="Limpieza 22-Nov"/>
    <x v="3"/>
    <x v="1"/>
    <n v="1"/>
    <n v="400"/>
    <n v="400"/>
  </r>
  <r>
    <x v="314"/>
    <s v="Relleno de Pino y Cloro"/>
    <x v="3"/>
    <x v="2"/>
    <n v="1"/>
    <n v="123"/>
    <n v="123"/>
  </r>
  <r>
    <x v="315"/>
    <s v="Sillas"/>
    <x v="0"/>
    <x v="0"/>
    <n v="1"/>
    <n v="4998"/>
    <n v="4998"/>
  </r>
  <r>
    <x v="315"/>
    <s v="Clases de Bateria Demian Andrade"/>
    <x v="3"/>
    <x v="1"/>
    <n v="1"/>
    <n v="2000"/>
    <n v="2000"/>
  </r>
  <r>
    <x v="315"/>
    <s v="Clases de Teclado Harim Lopez"/>
    <x v="3"/>
    <x v="1"/>
    <n v="1"/>
    <n v="2000"/>
    <n v="2000"/>
  </r>
  <r>
    <x v="315"/>
    <s v="Clases de Guitarra Hugo Vazquez"/>
    <x v="3"/>
    <x v="1"/>
    <n v="1"/>
    <n v="2000"/>
    <n v="2000"/>
  </r>
  <r>
    <x v="315"/>
    <s v="Clases de Guitarra Irwin Hernandez"/>
    <x v="3"/>
    <x v="1"/>
    <n v="1"/>
    <n v="7700"/>
    <n v="7700"/>
  </r>
  <r>
    <x v="315"/>
    <s v="Clases de Batería Julio Olvera"/>
    <x v="3"/>
    <x v="1"/>
    <n v="1"/>
    <n v="5900"/>
    <n v="5900"/>
  </r>
  <r>
    <x v="315"/>
    <s v="Clases de Bajo Luis Blanquet"/>
    <x v="3"/>
    <x v="1"/>
    <n v="1"/>
    <n v="800"/>
    <n v="800"/>
  </r>
  <r>
    <x v="315"/>
    <s v="Clases de Teclado Manuel Reyes"/>
    <x v="3"/>
    <x v="1"/>
    <n v="1"/>
    <n v="1200"/>
    <n v="1200"/>
  </r>
  <r>
    <x v="315"/>
    <s v="Clases de Canto Nahomy Perez"/>
    <x v="3"/>
    <x v="1"/>
    <n v="1"/>
    <n v="2800"/>
    <n v="2800"/>
  </r>
  <r>
    <x v="315"/>
    <s v="Marketing Emiliano Rosas"/>
    <x v="3"/>
    <x v="1"/>
    <n v="1"/>
    <n v="2500"/>
    <n v="2500"/>
  </r>
  <r>
    <x v="315"/>
    <s v="Quincena Ximena"/>
    <x v="3"/>
    <x v="1"/>
    <n v="1"/>
    <n v="5500"/>
    <n v="5500"/>
  </r>
  <r>
    <x v="315"/>
    <s v="Comisiones TPV"/>
    <x v="3"/>
    <x v="1"/>
    <n v="1"/>
    <n v="3302.96"/>
    <n v="3302.96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E22C9-837E-4438-83F0-A08643171F67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J12" firstHeaderRow="1" firstDataRow="2" firstDataCol="1"/>
  <pivotFields count="49">
    <pivotField showAll="0"/>
    <pivotField showAll="0"/>
    <pivotField showAll="0"/>
    <pivotField axis="axisCol" showAll="0">
      <items count="13">
        <item x="1"/>
        <item x="2"/>
        <item x="3"/>
        <item x="6"/>
        <item x="4"/>
        <item x="0"/>
        <item x="5"/>
        <item m="1" x="11"/>
        <item h="1" x="8"/>
        <item m="1" x="10"/>
        <item m="1" x="9"/>
        <item x="7"/>
        <item t="default"/>
      </items>
    </pivotField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4">
        <item x="1"/>
        <item sd="0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2">
    <field x="15"/>
    <field x="7"/>
  </rowFields>
  <rowItems count="8">
    <i>
      <x/>
    </i>
    <i r="1">
      <x/>
    </i>
    <i r="1">
      <x v="1"/>
    </i>
    <i r="1">
      <x v="2"/>
    </i>
    <i r="1">
      <x v="3"/>
    </i>
    <i r="1">
      <x v="4"/>
    </i>
    <i>
      <x v="1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11"/>
    </i>
    <i t="grand">
      <x/>
    </i>
  </colItems>
  <dataFields count="1">
    <dataField name="Sum of Total" fld="47" baseField="0" baseItem="0" numFmtId="164"/>
  </dataFields>
  <formats count="3">
    <format dxfId="19">
      <pivotArea outline="0" collapsedLevelsAreSubtotals="1" fieldPosition="0"/>
    </format>
    <format dxfId="18">
      <pivotArea outline="0" collapsedLevelsAreSubtotals="1" fieldPosition="0">
        <references count="1">
          <reference field="3" count="0" selected="0"/>
        </references>
      </pivotArea>
    </format>
    <format dxfId="17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EF0DE-BAA0-4B82-BC94-4C4F1D62E987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5:D42" firstHeaderRow="1" firstDataRow="2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0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3BFAB-FC5E-43A6-8CF5-E0F2F569B261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61:D71" firstHeaderRow="1" firstDataRow="2" firstDataCol="1" rowPageCount="1" colPageCount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6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10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4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FFE308-1BD4-44FF-A072-2E4430C91117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75:D82" firstHeaderRow="1" firstDataRow="2" firstDataCol="1" rowPageCount="1" colPageCount="1"/>
  <pivotFields count="49"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3"/>
        <item x="4"/>
        <item x="2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4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8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00CA7-DB1E-4E6F-A153-B286F31CD045}" name="TablaDinámica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7:D57" firstHeaderRow="1" firstDataRow="2" firstDataCol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4"/>
        <item x="6"/>
        <item x="5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status" fld="15" subtotal="count" baseField="0" baseItem="0"/>
  </dataFields>
  <formats count="3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dataOnly="0" outline="0" fieldPosition="0">
        <references count="1">
          <reference field="1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7F413-26A1-461C-B7BB-658F3FD4711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1:D31" firstHeaderRow="1" firstDataRow="2" firstDataCol="1" rowPageCount="1" colPageCount="1"/>
  <pivotFields count="49">
    <pivotField showAll="0"/>
    <pivotField dataField="1" showAll="0"/>
    <pivotField showAll="0"/>
    <pivotField axis="axisRow" showAll="0">
      <items count="13">
        <item m="1" x="11"/>
        <item x="3"/>
        <item x="1"/>
        <item x="4"/>
        <item x="2"/>
        <item x="6"/>
        <item x="5"/>
        <item x="0"/>
        <item x="8"/>
        <item m="1" x="10"/>
        <item m="1" x="9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5">
    <format dxfId="39">
      <pivotArea collapsedLevelsAreSubtotals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8">
      <pivotArea dataOnly="0" labelOnly="1" fieldPosition="0">
        <references count="1">
          <reference field="8" count="0"/>
        </references>
      </pivotArea>
    </format>
    <format dxfId="37">
      <pivotArea dataOnly="0" labelOnly="1" grandCol="1" outline="0" fieldPosition="0"/>
    </format>
    <format dxfId="36">
      <pivotArea field="8" grandRow="1" outline="0" collapsedLevelsAreSubtotals="1" axis="axisCol" fieldPosition="0">
        <references count="1">
          <reference field="8" count="0" selected="0"/>
        </references>
      </pivotArea>
    </format>
    <format dxfId="3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AE92B-2C08-4686-8CDE-B76E977624B0}" name="Tabla 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24">
  <location ref="C2:D7" firstHeaderRow="1" firstDataRow="1" firstDataCol="1"/>
  <pivotFields count="10">
    <pivotField compact="0" numFmtId="166" outline="0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compact="0" outline="0" showAll="0"/>
    <pivotField axis="axisRow" compact="0" outline="0" showAll="0">
      <items count="8">
        <item x="0"/>
        <item x="2"/>
        <item x="1"/>
        <item h="1" x="4"/>
        <item m="1" x="6"/>
        <item x="3"/>
        <item h="1" m="1" x="5"/>
        <item t="default"/>
      </items>
    </pivotField>
    <pivotField compact="0" outline="0" showAll="0">
      <items count="8">
        <item x="2"/>
        <item x="0"/>
        <item x="1"/>
        <item x="6"/>
        <item x="4"/>
        <item x="3"/>
        <item x="5"/>
        <item t="default"/>
      </items>
    </pivotField>
    <pivotField compact="0" outline="0" showAll="0"/>
    <pivotField compact="0" numFmtId="165" outline="0" showAll="0"/>
    <pivotField dataField="1" compact="0" numFmtId="165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5">
    <i>
      <x/>
    </i>
    <i>
      <x v="1"/>
    </i>
    <i>
      <x v="2"/>
    </i>
    <i>
      <x v="5"/>
    </i>
    <i t="grand">
      <x/>
    </i>
  </rowItems>
  <colItems count="1">
    <i/>
  </colItems>
  <dataFields count="1">
    <dataField name="Suma de Total" fld="6" baseField="0" baseItem="0" numFmtId="8"/>
  </dataFields>
  <formats count="16">
    <format dxfId="15">
      <pivotArea field="2" outline="0" axis="axisRow" fieldPosition="0">
        <references count="1">
          <reference field="2" count="0" selected="0"/>
        </references>
      </pivotArea>
    </format>
    <format dxfId="14">
      <pivotArea dataOnly="0" labelOnly="1" grandCol="1" outline="0" fieldPosition="0"/>
    </format>
    <format dxfId="13">
      <pivotArea field="2" type="button" dataOnly="0" labelOnly="1" outline="0" axis="axisRow" fieldPosition="0"/>
    </format>
    <format dxfId="12">
      <pivotArea field="3" type="button" dataOnly="0" labelOnly="1" outline="0"/>
    </format>
    <format dxfId="11">
      <pivotArea type="topRight" dataOnly="0" labelOnly="1" outline="0" fieldPosition="0"/>
    </format>
    <format dxfId="10">
      <pivotArea dataOnly="0" labelOnly="1" outline="0" fieldPosition="0">
        <references count="1">
          <reference field="2" count="0"/>
        </references>
      </pivotArea>
    </format>
    <format dxfId="9">
      <pivotArea outline="0" collapsedLevelsAreSubtotals="1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2" count="0"/>
        </references>
      </pivotArea>
    </format>
    <format dxfId="5">
      <pivotArea field="2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outline="0" fieldPosition="0">
        <references count="1">
          <reference field="2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2" count="1">
            <x v="2"/>
          </reference>
        </references>
      </pivotArea>
    </format>
  </formats>
  <chartFormats count="1">
    <chartFormat chart="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37977A-80BA-499F-AD99-32140CF2F832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28:BB38" firstHeaderRow="1" firstDataRow="5" firstDataCol="1"/>
  <pivotFields count="10">
    <pivotField axis="axisCol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showAll="0"/>
    <pivotField axis="axisRow" showAll="0">
      <items count="8">
        <item x="3"/>
        <item x="0"/>
        <item x="1"/>
        <item x="2"/>
        <item m="1" x="6"/>
        <item x="4"/>
        <item m="1" x="5"/>
        <item t="default"/>
      </items>
    </pivotField>
    <pivotField showAll="0"/>
    <pivotField showAll="0"/>
    <pivotField showAll="0"/>
    <pivotField dataField="1" numFmtId="165" showAll="0"/>
    <pivotField axis="axisCol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Fields count="4">
    <field x="9"/>
    <field x="8"/>
    <field x="7"/>
    <field x="0"/>
  </colFields>
  <colItems count="52">
    <i>
      <x/>
      <x v="1"/>
      <x v="3"/>
    </i>
    <i t="default" r="1">
      <x v="1"/>
    </i>
    <i r="1">
      <x v="2"/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/>
    </i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t="default" r="1">
      <x v="4"/>
    </i>
    <i t="default">
      <x v="2"/>
    </i>
    <i>
      <x v="3"/>
      <x/>
      <x/>
      <x v="226"/>
    </i>
    <i t="default" r="2">
      <x/>
    </i>
    <i t="default" r="1">
      <x/>
    </i>
    <i t="default">
      <x v="3"/>
    </i>
    <i t="grand">
      <x/>
    </i>
  </colItems>
  <dataFields count="1">
    <dataField name="Sum of Total" fld="6" baseField="0" baseItem="0" numFmtId="168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044BC6-C5D0-4420-B8A4-08765061BD62}" name="Table4" displayName="Table4" ref="A1:G13" totalsRowCount="1">
  <autoFilter ref="A1:G12" xr:uid="{16044BC6-C5D0-4420-B8A4-08765061BD62}"/>
  <tableColumns count="7">
    <tableColumn id="1" xr3:uid="{F673D489-9A5D-4BEA-AAAF-24A1BD87B16E}" name="Fecha" totalsRowLabel="Total" dataDxfId="148" totalsRowDxfId="147"/>
    <tableColumn id="2" xr3:uid="{E4F6F6A8-7D27-4C1B-A10B-5E3947EAAD5A}" name="Proyecto"/>
    <tableColumn id="3" xr3:uid="{8428CDCC-D55B-4D5E-ACA6-89361C24846E}" name="Tipo de pago"/>
    <tableColumn id="4" xr3:uid="{8919275B-00FB-4433-B4C4-0240B06C4857}" name="Tipo de cambio"/>
    <tableColumn id="5" xr3:uid="{C52CE671-FCE5-4963-BFF7-B3725BF6A527}" name="Divisa" dataDxfId="146" totalsRowDxfId="145"/>
    <tableColumn id="6" xr3:uid="{49295838-296E-44F2-AA21-CDDFB949A5BF}" name="Precio unitario" dataDxfId="144" totalsRowDxfId="143"/>
    <tableColumn id="7" xr3:uid="{0C450B77-0098-4FC0-A55D-4D855F62429F}" name="Precio (MXN)" totalsRowFunction="custom" dataDxfId="142" totalsRowDxfId="141">
      <calculatedColumnFormula>F2*D2</calculatedColumnFormula>
      <totalsRowFormula>SUM(Table4[Precio (MXN)])</totalsRow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C59334-56B5-4704-BDD9-9B23C377060B}" name="Table2" displayName="Table2" ref="A1:G68" totalsRowCount="1">
  <autoFilter ref="A1:G67" xr:uid="{B3C59334-56B5-4704-BDD9-9B23C377060B}"/>
  <tableColumns count="7">
    <tableColumn id="1" xr3:uid="{E36E3E8E-FABD-4532-8C94-C3B5F3DD8FA7}" name="Fecha" totalsRowLabel="Total" dataDxfId="140" totalsRowDxfId="139"/>
    <tableColumn id="2" xr3:uid="{6576086E-131C-40C8-BD0D-45AF76A1B2A6}" name="Concepto"/>
    <tableColumn id="3" xr3:uid="{290F69D6-2B3A-49AD-A1E8-E81516715C02}" name="Socio"/>
    <tableColumn id="4" xr3:uid="{FD8BB7D9-2826-44AA-B439-EBF2D12D9294}" name="Forma de Pago"/>
    <tableColumn id="5" xr3:uid="{E4F2210B-835F-4FBE-91AF-D266D4A955C3}" name="Cantidad" dataDxfId="138" totalsRowDxfId="137"/>
    <tableColumn id="6" xr3:uid="{BF7012CB-1433-4277-BDA8-22BFB1963676}" name="Precio x unidad" dataDxfId="136" totalsRowDxfId="135"/>
    <tableColumn id="7" xr3:uid="{CB4FA99B-DEE5-40BB-AE9A-DF02D2239251}" name="Total" totalsRowFunction="custom" dataDxfId="134" totalsRowDxfId="133">
      <totalsRowFormula>SUM(Table2[Total])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0D3573-E4D3-46D4-8941-9E5BFEB561B5}" name="Table14" displayName="Table14" ref="A1:AW114" totalsRowCount="1" headerRowDxfId="132">
  <autoFilter ref="A1:AW113" xr:uid="{BFA399A6-7457-466A-A8E1-0C581281E875}"/>
  <sortState xmlns:xlrd2="http://schemas.microsoft.com/office/spreadsheetml/2017/richdata2" ref="A2:AW113">
    <sortCondition ref="B1:B113"/>
  </sortState>
  <tableColumns count="49">
    <tableColumn id="1" xr3:uid="{22FE3325-3F0C-4FF9-B9FF-47A645BFCF04}" name="Num Alumno" dataDxfId="131" totalsRowDxfId="130"/>
    <tableColumn id="2" xr3:uid="{381104ED-278D-448C-85FC-4A7E3AF3DC05}" name="Alumno"/>
    <tableColumn id="10" xr3:uid="{E92BE7EA-EBB2-4A0C-96E2-0DBE48306F37}" name="Edad" dataDxfId="129" totalsRowDxfId="128"/>
    <tableColumn id="3" xr3:uid="{A82F4F10-B150-43BC-AA9C-55D716B38D02}" name="Maestro"/>
    <tableColumn id="9" xr3:uid="{587C9B83-F274-4FFB-8C7B-8E74CB25FF97}" name="Fecha de inscripción" dataDxfId="127" totalsRowDxfId="126"/>
    <tableColumn id="11" xr3:uid="{0CCD438F-3692-470C-A478-28A1B4CE6DB7}" name="Fecha de pago" dataDxfId="125" totalsRowDxfId="124"/>
    <tableColumn id="12" xr3:uid="{C193D3F5-A6B5-415B-B7B0-7A3907E31527}" name="Promocion"/>
    <tableColumn id="8" xr3:uid="{BA7E9AC7-2995-42D9-8226-9BC64D135045}" name="Clase"/>
    <tableColumn id="13" xr3:uid="{59A71299-E821-4D87-8D12-806FC34A1078}" name="Tipo" dataDxfId="123" totalsRowDxfId="122"/>
    <tableColumn id="14" xr3:uid="{C964548A-02EC-43E6-8589-9FE5EC5BCEFC}" name="Horario"/>
    <tableColumn id="4" xr3:uid="{DBC42755-FCEC-4041-A87A-25A120DAACEB}" name="Forma de Pago" dataDxfId="121" totalsRowDxfId="120"/>
    <tableColumn id="32" xr3:uid="{12E66F8C-E7D1-42D2-963B-FCFD6BA6427F}" name="Domicilado" dataDxfId="119" totalsRowDxfId="118"/>
    <tableColumn id="5" xr3:uid="{63649793-4429-42F0-AC13-D5B992DC1A9D}" name="Cantidad" dataDxfId="117" totalsRowDxfId="116"/>
    <tableColumn id="6" xr3:uid="{908CCE59-350B-4302-8336-6728C7319715}" name="Precio x unidad" dataDxfId="115" totalsRowDxfId="114"/>
    <tableColumn id="15" xr3:uid="{EDE007B4-CFFC-4066-9B63-8AA0D38E36FF}" name="Domicilado2"/>
    <tableColumn id="16" xr3:uid="{619A5E6C-0A6A-4535-9EE8-CEECC82883F2}" name="Estatus"/>
    <tableColumn id="28" xr3:uid="{0B8D5572-80AA-4526-B946-CED9E498BEA9}" name="Tipo de Clase" dataDxfId="113">
      <calculatedColumnFormula>_xlfn.CONCAT(Table14[[#This Row],[Clase]]," ",Table14[[#This Row],[Tipo]])</calculatedColumnFormula>
    </tableColumn>
    <tableColumn id="17" xr3:uid="{6CE68872-BD3E-423E-A8F4-68534FD74DF8}" name="Julio" totalsRowFunction="custom" totalsRowDxfId="112">
      <totalsRowFormula>SUM(R2:R113)</totalsRowFormula>
    </tableColumn>
    <tableColumn id="18" xr3:uid="{F06B3061-C34F-4ADC-8B79-AF6755CA94B1}" name="Agosto" totalsRowFunction="custom" dataDxfId="111" totalsRowDxfId="110">
      <totalsRowFormula>SUM(S2:S113)</totalsRowFormula>
    </tableColumn>
    <tableColumn id="19" xr3:uid="{4EAAF530-4B11-48C0-A9B7-CAA4E0AA70F2}" name="Septiembre" totalsRowFunction="custom" dataDxfId="109" totalsRowDxfId="108">
      <totalsRowFormula>SUM(T2:T113)</totalsRowFormula>
    </tableColumn>
    <tableColumn id="20" xr3:uid="{46B2AE54-BE68-48F8-9798-57D10A97EF39}" name="Octubre" totalsRowFunction="custom" dataDxfId="107" totalsRowDxfId="106">
      <totalsRowFormula>SUM(U2:U113)</totalsRowFormula>
    </tableColumn>
    <tableColumn id="21" xr3:uid="{DCAABE8E-47E1-410B-B7AC-BE18E0142970}" name="Noviembre" totalsRowFunction="custom" dataDxfId="105" totalsRowDxfId="104">
      <totalsRowFormula>SUM(V2:V113)</totalsRowFormula>
    </tableColumn>
    <tableColumn id="22" xr3:uid="{981A4256-C0F9-4DAE-980D-7147BEB52904}" name="Diciembre" totalsRowFunction="custom" dataDxfId="103" totalsRowDxfId="102">
      <totalsRowFormula>SUM(W2:W113)</totalsRowFormula>
    </tableColumn>
    <tableColumn id="24" xr3:uid="{6BA15BD9-3A29-48F7-B5EB-6DB2FC89EB39}" name="Enero" totalsRowFunction="custom" dataDxfId="101" totalsRowDxfId="100">
      <totalsRowFormula>SUM(X2:X113)</totalsRowFormula>
    </tableColumn>
    <tableColumn id="23" xr3:uid="{8E9C40ED-116E-4F34-8AA5-8D33D0E66CDF}" name="Febrero" totalsRowFunction="custom" dataDxfId="99" totalsRowDxfId="98">
      <totalsRowFormula>SUM(Y2:Y113)</totalsRowFormula>
    </tableColumn>
    <tableColumn id="26" xr3:uid="{6B1BD976-8574-490D-B67F-A78939C42A50}" name="Marzo" totalsRowFunction="custom" dataDxfId="97" totalsRowDxfId="96">
      <totalsRowFormula>SUM(Z2:Z113)</totalsRowFormula>
    </tableColumn>
    <tableColumn id="27" xr3:uid="{F952A291-66AC-49B4-B371-67AA03BF30EF}" name="Abril" totalsRowFunction="custom" dataDxfId="95" totalsRowDxfId="94">
      <totalsRowFormula>SUM(AA2:AA113)</totalsRowFormula>
    </tableColumn>
    <tableColumn id="25" xr3:uid="{2E4828CA-68D9-474A-81C5-FFF34121BD95}" name="Mayo" totalsRowFunction="custom" dataDxfId="93" totalsRowDxfId="92">
      <totalsRowFormula>SUM(AB2:AB113)</totalsRowFormula>
    </tableColumn>
    <tableColumn id="31" xr3:uid="{E796EFC8-A70B-415C-BDA5-CE0977C1A2EE}" name="Junio" totalsRowFunction="custom" dataDxfId="91" totalsRowDxfId="90">
      <totalsRowFormula>SUM(AC2:AC113)</totalsRowFormula>
    </tableColumn>
    <tableColumn id="30" xr3:uid="{28D759F4-8442-4888-9566-C336035DFDC1}" name="Julio2" totalsRowFunction="custom" dataDxfId="89" totalsRowDxfId="88">
      <totalsRowFormula>SUM(AD2:AD113)</totalsRowFormula>
    </tableColumn>
    <tableColumn id="29" xr3:uid="{AD78B7A4-514A-4D16-8EB3-9D2808950D45}" name="Agosto2" totalsRowFunction="custom" dataDxfId="87" totalsRowDxfId="86">
      <totalsRowFormula>SUM(AE2:AE113)</totalsRowFormula>
    </tableColumn>
    <tableColumn id="33" xr3:uid="{A91A2628-B7DF-47B2-8012-5A1394E22930}" name="Septiembre2" totalsRowFunction="custom" dataDxfId="85" totalsRowDxfId="84">
      <totalsRowFormula>SUM(AF2:AF113)</totalsRowFormula>
    </tableColumn>
    <tableColumn id="34" xr3:uid="{261370ED-3AFA-47F0-B6C4-7C7FB0348ED8}" name="Octubre2" totalsRowFunction="custom" dataDxfId="83" totalsRowDxfId="82">
      <totalsRowFormula>SUM(AG2:AG113)</totalsRowFormula>
    </tableColumn>
    <tableColumn id="35" xr3:uid="{BBFF8603-7E74-40F7-81A8-7A8265011B1C}" name="Noviembre2" totalsRowFunction="custom" dataDxfId="81" totalsRowDxfId="80">
      <totalsRowFormula>SUM(AH2:AH113)</totalsRowFormula>
    </tableColumn>
    <tableColumn id="39" xr3:uid="{69917871-8EB9-454A-B400-8684D1C21365}" name="Diciembre3" totalsRowFunction="custom" dataDxfId="79" totalsRowDxfId="78">
      <totalsRowFormula>SUM(AI2:AI113)</totalsRowFormula>
    </tableColumn>
    <tableColumn id="38" xr3:uid="{E488B402-03D6-4BD8-9D03-B3A9E9BCE9A5}" name="Enero2" totalsRowFunction="custom" dataDxfId="77" totalsRowDxfId="76">
      <totalsRowFormula>SUM(AJ2:AJ113)</totalsRowFormula>
    </tableColumn>
    <tableColumn id="37" xr3:uid="{FECEF4BB-C58F-41A8-8300-FDAE1681476D}" name="Febrero2" totalsRowFunction="custom" dataDxfId="75" totalsRowDxfId="74">
      <totalsRowFormula>SUM(AK2:AK113)</totalsRowFormula>
    </tableColumn>
    <tableColumn id="40" xr3:uid="{38114AE3-C756-41D4-8042-7F4EE908E86C}" name="Marzo2" totalsRowFunction="custom" dataDxfId="73" totalsRowDxfId="72">
      <totalsRowFormula>SUM(AL2:AL113)</totalsRowFormula>
    </tableColumn>
    <tableColumn id="42" xr3:uid="{CAD53A45-5676-468A-8720-9FC1DC6DE69A}" name="Abril2" totalsRowFunction="custom" dataDxfId="71" totalsRowDxfId="70">
      <totalsRowFormula>SUM(AM2:AM113)</totalsRowFormula>
    </tableColumn>
    <tableColumn id="41" xr3:uid="{F3CE6FAF-D6F8-4EA3-A043-2AF18436CDEA}" name="Mayo2" totalsRowFunction="custom" dataDxfId="69" totalsRowDxfId="68">
      <totalsRowFormula>SUM(AN2:AN113)</totalsRowFormula>
    </tableColumn>
    <tableColumn id="45" xr3:uid="{F804E5FB-A23F-4F9E-8E45-BB961E0446FB}" name="Junio2" totalsRowFunction="custom" dataDxfId="67" totalsRowDxfId="66">
      <totalsRowFormula>SUM(AO2:AO113)</totalsRowFormula>
    </tableColumn>
    <tableColumn id="46" xr3:uid="{855B17F7-EF24-4B21-AF6D-46A6497B9136}" name="Julio3" totalsRowFunction="custom" dataDxfId="65" totalsRowDxfId="64">
      <totalsRowFormula>SUM(AP2:AP113)</totalsRowFormula>
    </tableColumn>
    <tableColumn id="44" xr3:uid="{C61B0969-E8FF-421E-958A-3C8E2F41D676}" name="Agosto3" totalsRowFunction="custom" dataDxfId="63" totalsRowDxfId="62">
      <totalsRowFormula>SUM(AQ2:AQ113)</totalsRowFormula>
    </tableColumn>
    <tableColumn id="36" xr3:uid="{7EFA7755-CAAA-49E1-B0AA-4EFBDE1A47FD}" name="Septiembre3" totalsRowFunction="custom" dataDxfId="61" totalsRowDxfId="60">
      <totalsRowFormula>SUM(AR2:AR113)</totalsRowFormula>
    </tableColumn>
    <tableColumn id="49" xr3:uid="{F287CABE-D5B2-457A-999C-739B201CDF8E}" name="Octubre3" totalsRowFunction="custom" dataDxfId="59" totalsRowDxfId="58">
      <totalsRowFormula>SUM(AS2:AS113)</totalsRowFormula>
    </tableColumn>
    <tableColumn id="48" xr3:uid="{6C5A7346-2A0E-4155-BF17-CD5908A2FC24}" name="Noviembre3" totalsRowFunction="custom" dataDxfId="57" totalsRowDxfId="56">
      <totalsRowFormula>SUM(AT2:AT113)</totalsRowFormula>
    </tableColumn>
    <tableColumn id="47" xr3:uid="{A0F0DEC6-5B71-42DE-A3B1-3D5E32C0CAC0}" name="Diciembre2" dataDxfId="55" totalsRowDxfId="54"/>
    <tableColumn id="7" xr3:uid="{4D4FC95B-B09A-4BC5-A65D-05D6A8A0C3FE}" name="Total" totalsRowFunction="custom" dataDxfId="53" totalsRowDxfId="52">
      <calculatedColumnFormula>SUM(Table14[[#This Row],[Julio]:[Diciembre2]])</calculatedColumnFormula>
      <totalsRowFormula>SUM(Table14[Total])</totalsRowFormula>
    </tableColumn>
    <tableColumn id="43" xr3:uid="{35D56830-A1AF-4602-836F-A57DCC0B92C6}" name="Observaciones" dataDxfId="5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399A6-7457-466A-A8E1-0C581281E875}" name="Table1" displayName="Table1" ref="A1:H737" totalsRowCount="1" headerRowDxfId="50">
  <autoFilter ref="A1:H736" xr:uid="{BFA399A6-7457-466A-A8E1-0C581281E875}"/>
  <sortState xmlns:xlrd2="http://schemas.microsoft.com/office/spreadsheetml/2017/richdata2" ref="A2:H736">
    <sortCondition ref="A1:A736"/>
  </sortState>
  <tableColumns count="8">
    <tableColumn id="1" xr3:uid="{E1AD0ECF-72E7-4EE2-B6E5-D7A5D15CAB4D}" name="Fecha" totalsRowLabel="Total" dataDxfId="49" totalsRowDxfId="48"/>
    <tableColumn id="2" xr3:uid="{255E6142-348E-4056-847C-FC1B935C536B}" name="Concepto"/>
    <tableColumn id="3" xr3:uid="{6DF4309C-0761-4ABE-8464-F84E5EB9223A}" name="Socio"/>
    <tableColumn id="8" xr3:uid="{E8D90A93-C13C-45B4-99F6-B8214C67B72B}" name="Transacción ID"/>
    <tableColumn id="4" xr3:uid="{0DD5A2EC-CF0D-4EA8-B7EA-217AC263A04D}" name="Forma de Pago" dataDxfId="47" totalsRowDxfId="46"/>
    <tableColumn id="5" xr3:uid="{4C5448DE-9D16-4C9C-8CE2-7246FBA56126}" name="Cantidad" dataDxfId="45" totalsRowDxfId="44"/>
    <tableColumn id="6" xr3:uid="{F298497C-54D4-4EAC-AEFF-A51217F4A6CC}" name="Precio x unidad" dataDxfId="43" totalsRowDxfId="42"/>
    <tableColumn id="7" xr3:uid="{9B6E0B5E-4AFE-4DF6-BE01-3F529965C090}" name="Total" totalsRowFunction="custom" dataDxfId="41" totalsRowDxfId="40">
      <totalsRowFormula>SUM(Table1[Total])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46883324-16F5-4A86-A773-73A84339C290}">
    <text>Pagada el 2 de enero por MP a Antonio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3D8A-FF28-4D5E-A17B-689C1161B7DE}">
  <dimension ref="A1:L16"/>
  <sheetViews>
    <sheetView workbookViewId="0">
      <selection activeCell="B26" sqref="B26"/>
    </sheetView>
  </sheetViews>
  <sheetFormatPr baseColWidth="10" defaultColWidth="8.84375" defaultRowHeight="14.6" x14ac:dyDescent="0.4"/>
  <cols>
    <col min="2" max="2" width="29.69140625" customWidth="1"/>
    <col min="3" max="3" width="14.84375" customWidth="1"/>
    <col min="4" max="4" width="9.3046875" customWidth="1"/>
    <col min="5" max="5" width="7.23046875" style="1" customWidth="1"/>
    <col min="6" max="6" width="14.07421875" customWidth="1"/>
    <col min="7" max="7" width="12.8437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12" x14ac:dyDescent="0.4">
      <c r="A2" s="36">
        <v>45421</v>
      </c>
      <c r="B2" t="s">
        <v>7</v>
      </c>
      <c r="C2" t="s">
        <v>8</v>
      </c>
      <c r="D2">
        <v>16.850000000000001</v>
      </c>
      <c r="E2" s="1" t="s">
        <v>9</v>
      </c>
      <c r="F2" s="2">
        <v>2500</v>
      </c>
      <c r="G2" s="2">
        <f>F2*D2</f>
        <v>42125</v>
      </c>
    </row>
    <row r="3" spans="1:12" x14ac:dyDescent="0.4">
      <c r="A3" s="36">
        <v>45670</v>
      </c>
      <c r="B3" t="s">
        <v>7</v>
      </c>
      <c r="C3" t="s">
        <v>8</v>
      </c>
      <c r="D3">
        <v>20.6</v>
      </c>
      <c r="E3" s="1" t="s">
        <v>9</v>
      </c>
      <c r="F3" s="2">
        <v>3750</v>
      </c>
      <c r="G3" s="2">
        <f t="shared" ref="G3:G7" si="0">F3*D3</f>
        <v>77250</v>
      </c>
      <c r="I3" s="2"/>
    </row>
    <row r="4" spans="1:12" x14ac:dyDescent="0.4">
      <c r="A4" s="36">
        <v>45881</v>
      </c>
      <c r="B4" t="s">
        <v>7</v>
      </c>
      <c r="C4" t="s">
        <v>8</v>
      </c>
      <c r="D4">
        <v>18.600000000000001</v>
      </c>
      <c r="E4" s="1" t="s">
        <v>9</v>
      </c>
      <c r="F4" s="2">
        <v>2000</v>
      </c>
      <c r="G4" s="2">
        <f t="shared" si="0"/>
        <v>37200</v>
      </c>
    </row>
    <row r="5" spans="1:12" x14ac:dyDescent="0.4">
      <c r="A5" s="36"/>
      <c r="F5" s="2"/>
      <c r="G5" s="2">
        <f t="shared" si="0"/>
        <v>0</v>
      </c>
    </row>
    <row r="6" spans="1:12" x14ac:dyDescent="0.4">
      <c r="A6" s="36"/>
      <c r="F6" s="2"/>
      <c r="G6" s="2">
        <f t="shared" si="0"/>
        <v>0</v>
      </c>
    </row>
    <row r="7" spans="1:12" x14ac:dyDescent="0.4">
      <c r="A7" s="36"/>
      <c r="F7" s="2"/>
      <c r="G7" s="2">
        <f t="shared" si="0"/>
        <v>0</v>
      </c>
    </row>
    <row r="8" spans="1:12" x14ac:dyDescent="0.4">
      <c r="A8" s="36"/>
      <c r="F8" s="2"/>
      <c r="G8" s="2">
        <f t="shared" ref="G8:G12" si="1">F8*D8</f>
        <v>0</v>
      </c>
      <c r="L8">
        <f>37200/2000</f>
        <v>18.600000000000001</v>
      </c>
    </row>
    <row r="9" spans="1:12" x14ac:dyDescent="0.4">
      <c r="A9" s="36"/>
      <c r="F9" s="2"/>
      <c r="G9" s="2">
        <f t="shared" si="1"/>
        <v>0</v>
      </c>
    </row>
    <row r="10" spans="1:12" x14ac:dyDescent="0.4">
      <c r="A10" s="36"/>
      <c r="F10" s="2"/>
      <c r="G10" s="2">
        <f t="shared" si="1"/>
        <v>0</v>
      </c>
    </row>
    <row r="11" spans="1:12" x14ac:dyDescent="0.4">
      <c r="A11" s="36"/>
      <c r="F11" s="2"/>
      <c r="G11" s="2">
        <f t="shared" si="1"/>
        <v>0</v>
      </c>
    </row>
    <row r="12" spans="1:12" x14ac:dyDescent="0.4">
      <c r="A12" s="36"/>
      <c r="F12" s="2"/>
      <c r="G12" s="2">
        <f t="shared" si="1"/>
        <v>0</v>
      </c>
    </row>
    <row r="13" spans="1:12" x14ac:dyDescent="0.4">
      <c r="A13" s="36" t="s">
        <v>10</v>
      </c>
      <c r="F13" s="2"/>
      <c r="G13" s="2">
        <f>SUM(Table4[Precio (MXN)])</f>
        <v>156575</v>
      </c>
    </row>
    <row r="16" spans="1:12" x14ac:dyDescent="0.4">
      <c r="K16">
        <f>42125/2500</f>
        <v>16.850000000000001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CA-5B69-43D6-9082-970D5445E651}">
  <dimension ref="A1:J75"/>
  <sheetViews>
    <sheetView topLeftCell="A28" workbookViewId="0">
      <selection activeCell="E17" sqref="E17"/>
    </sheetView>
  </sheetViews>
  <sheetFormatPr baseColWidth="10" defaultColWidth="8.84375" defaultRowHeight="14.6" x14ac:dyDescent="0.4"/>
  <cols>
    <col min="1" max="1" width="10.23046875" customWidth="1"/>
    <col min="2" max="2" width="52.07421875" bestFit="1" customWidth="1"/>
    <col min="3" max="3" width="16.23046875" customWidth="1"/>
    <col min="4" max="4" width="14.84375" customWidth="1"/>
    <col min="5" max="5" width="9.69140625" style="1" customWidth="1"/>
    <col min="6" max="6" width="15.23046875" customWidth="1"/>
    <col min="7" max="7" width="11" customWidth="1"/>
    <col min="9" max="9" width="11" bestFit="1" customWidth="1"/>
  </cols>
  <sheetData>
    <row r="1" spans="1:10" x14ac:dyDescent="0.4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10</v>
      </c>
    </row>
    <row r="2" spans="1:10" x14ac:dyDescent="0.4">
      <c r="A2" s="3">
        <v>45042</v>
      </c>
      <c r="B2" t="s">
        <v>16</v>
      </c>
      <c r="C2" s="47" t="s">
        <v>17</v>
      </c>
      <c r="D2" s="1" t="s">
        <v>18</v>
      </c>
      <c r="E2" s="1">
        <v>1</v>
      </c>
      <c r="F2" s="2">
        <v>519.67999999999995</v>
      </c>
      <c r="G2" s="4">
        <f t="shared" ref="G2:G65" si="0">F2*E2</f>
        <v>519.67999999999995</v>
      </c>
    </row>
    <row r="3" spans="1:10" x14ac:dyDescent="0.4">
      <c r="A3" s="3">
        <v>45042</v>
      </c>
      <c r="B3" t="s">
        <v>19</v>
      </c>
      <c r="C3" s="47" t="s">
        <v>17</v>
      </c>
      <c r="D3" s="1" t="s">
        <v>18</v>
      </c>
      <c r="E3" s="1">
        <v>1</v>
      </c>
      <c r="F3" s="2">
        <v>893.2</v>
      </c>
      <c r="G3" s="4">
        <f t="shared" si="0"/>
        <v>893.2</v>
      </c>
    </row>
    <row r="4" spans="1:10" x14ac:dyDescent="0.4">
      <c r="A4" s="3">
        <v>45043</v>
      </c>
      <c r="B4" t="s">
        <v>20</v>
      </c>
      <c r="C4" s="47" t="s">
        <v>17</v>
      </c>
      <c r="D4" s="1" t="s">
        <v>18</v>
      </c>
      <c r="E4" s="1">
        <v>1</v>
      </c>
      <c r="F4" s="2">
        <v>1010.82</v>
      </c>
      <c r="G4" s="4">
        <f t="shared" si="0"/>
        <v>1010.82</v>
      </c>
    </row>
    <row r="5" spans="1:10" x14ac:dyDescent="0.4">
      <c r="A5" s="3">
        <v>45347</v>
      </c>
      <c r="B5" t="s">
        <v>21</v>
      </c>
      <c r="C5" s="47" t="s">
        <v>17</v>
      </c>
      <c r="D5" s="1" t="s">
        <v>18</v>
      </c>
      <c r="E5" s="1">
        <v>1</v>
      </c>
      <c r="F5" s="2">
        <v>519.67999999999995</v>
      </c>
      <c r="G5" s="4">
        <f t="shared" si="0"/>
        <v>519.67999999999995</v>
      </c>
    </row>
    <row r="6" spans="1:10" x14ac:dyDescent="0.4">
      <c r="A6" s="3">
        <v>45378</v>
      </c>
      <c r="B6" t="s">
        <v>22</v>
      </c>
      <c r="C6" s="47" t="s">
        <v>17</v>
      </c>
      <c r="D6" s="1" t="s">
        <v>18</v>
      </c>
      <c r="E6" s="1">
        <v>1</v>
      </c>
      <c r="F6" s="2">
        <v>270.98</v>
      </c>
      <c r="G6" s="4">
        <f t="shared" si="0"/>
        <v>270.98</v>
      </c>
    </row>
    <row r="7" spans="1:10" x14ac:dyDescent="0.4">
      <c r="A7" s="3">
        <v>45380</v>
      </c>
      <c r="B7" t="s">
        <v>23</v>
      </c>
      <c r="C7" s="47" t="s">
        <v>17</v>
      </c>
      <c r="D7" s="1" t="s">
        <v>18</v>
      </c>
      <c r="E7" s="1">
        <v>1</v>
      </c>
      <c r="F7" s="2">
        <v>660.04</v>
      </c>
      <c r="G7" s="4">
        <f t="shared" si="0"/>
        <v>660.04</v>
      </c>
    </row>
    <row r="8" spans="1:10" x14ac:dyDescent="0.4">
      <c r="A8" s="3">
        <v>45409</v>
      </c>
      <c r="B8" t="s">
        <v>24</v>
      </c>
      <c r="C8" s="47" t="s">
        <v>17</v>
      </c>
      <c r="D8" s="1" t="s">
        <v>18</v>
      </c>
      <c r="E8" s="1">
        <v>1</v>
      </c>
      <c r="F8" s="2">
        <v>350.78</v>
      </c>
      <c r="G8" s="4">
        <f t="shared" si="0"/>
        <v>350.78</v>
      </c>
    </row>
    <row r="9" spans="1:10" x14ac:dyDescent="0.4">
      <c r="A9" s="3">
        <v>45420</v>
      </c>
      <c r="B9" t="s">
        <v>25</v>
      </c>
      <c r="C9" s="47" t="s">
        <v>17</v>
      </c>
      <c r="D9" s="1" t="s">
        <v>18</v>
      </c>
      <c r="E9" s="1">
        <v>1</v>
      </c>
      <c r="F9" s="2">
        <v>43.6</v>
      </c>
      <c r="G9" s="4">
        <f t="shared" si="0"/>
        <v>43.6</v>
      </c>
      <c r="I9" s="2"/>
      <c r="J9" s="2"/>
    </row>
    <row r="10" spans="1:10" x14ac:dyDescent="0.4">
      <c r="A10" s="3">
        <v>45420</v>
      </c>
      <c r="B10" t="s">
        <v>26</v>
      </c>
      <c r="C10" s="47" t="s">
        <v>17</v>
      </c>
      <c r="D10" s="1" t="s">
        <v>18</v>
      </c>
      <c r="E10" s="1">
        <v>1</v>
      </c>
      <c r="F10" s="2">
        <v>87.4</v>
      </c>
      <c r="G10" s="4">
        <f t="shared" si="0"/>
        <v>87.4</v>
      </c>
      <c r="I10" s="2"/>
      <c r="J10" s="2"/>
    </row>
    <row r="11" spans="1:10" x14ac:dyDescent="0.4">
      <c r="A11" s="3">
        <v>45420</v>
      </c>
      <c r="B11" t="s">
        <v>27</v>
      </c>
      <c r="C11" s="47" t="s">
        <v>17</v>
      </c>
      <c r="D11" s="1" t="s">
        <v>18</v>
      </c>
      <c r="E11" s="1">
        <v>1</v>
      </c>
      <c r="F11" s="35">
        <v>76.89</v>
      </c>
      <c r="G11" s="4">
        <f t="shared" si="0"/>
        <v>76.89</v>
      </c>
      <c r="I11" s="2"/>
      <c r="J11" s="2"/>
    </row>
    <row r="12" spans="1:10" x14ac:dyDescent="0.4">
      <c r="A12" s="3">
        <v>45420</v>
      </c>
      <c r="B12" t="s">
        <v>28</v>
      </c>
      <c r="C12" s="47" t="s">
        <v>17</v>
      </c>
      <c r="D12" s="1" t="s">
        <v>18</v>
      </c>
      <c r="E12" s="1">
        <v>1</v>
      </c>
      <c r="F12" s="2">
        <v>140</v>
      </c>
      <c r="G12" s="4">
        <f t="shared" si="0"/>
        <v>140</v>
      </c>
      <c r="I12" s="2"/>
      <c r="J12" s="2"/>
    </row>
    <row r="13" spans="1:10" x14ac:dyDescent="0.4">
      <c r="A13" s="3">
        <v>45420</v>
      </c>
      <c r="B13" t="s">
        <v>29</v>
      </c>
      <c r="C13" s="47" t="s">
        <v>17</v>
      </c>
      <c r="D13" s="1" t="s">
        <v>18</v>
      </c>
      <c r="E13" s="1">
        <v>1</v>
      </c>
      <c r="F13" s="35">
        <v>399</v>
      </c>
      <c r="G13" s="4">
        <f t="shared" si="0"/>
        <v>399</v>
      </c>
      <c r="I13" s="2"/>
      <c r="J13" s="2"/>
    </row>
    <row r="14" spans="1:10" x14ac:dyDescent="0.4">
      <c r="A14" s="3">
        <v>45420</v>
      </c>
      <c r="B14" t="s">
        <v>30</v>
      </c>
      <c r="C14" s="47" t="s">
        <v>17</v>
      </c>
      <c r="D14" s="1" t="s">
        <v>18</v>
      </c>
      <c r="E14" s="1">
        <v>1</v>
      </c>
      <c r="F14" s="2">
        <v>134.21</v>
      </c>
      <c r="G14" s="4">
        <f t="shared" si="0"/>
        <v>134.21</v>
      </c>
      <c r="I14" s="2"/>
      <c r="J14" s="2"/>
    </row>
    <row r="15" spans="1:10" x14ac:dyDescent="0.4">
      <c r="A15" s="3">
        <v>45420</v>
      </c>
      <c r="B15" t="s">
        <v>31</v>
      </c>
      <c r="C15" s="47" t="s">
        <v>17</v>
      </c>
      <c r="D15" s="1" t="s">
        <v>18</v>
      </c>
      <c r="E15" s="1">
        <v>1</v>
      </c>
      <c r="F15" s="2">
        <v>136.12</v>
      </c>
      <c r="G15" s="4">
        <f t="shared" si="0"/>
        <v>136.12</v>
      </c>
      <c r="I15" s="2"/>
      <c r="J15" s="2"/>
    </row>
    <row r="16" spans="1:10" x14ac:dyDescent="0.4">
      <c r="A16" s="3">
        <v>45420</v>
      </c>
      <c r="B16" t="s">
        <v>32</v>
      </c>
      <c r="C16" s="47" t="s">
        <v>17</v>
      </c>
      <c r="D16" s="1" t="s">
        <v>18</v>
      </c>
      <c r="E16" s="1">
        <v>3</v>
      </c>
      <c r="F16" s="2">
        <f>977.92/Table2[[#This Row],[Cantidad]]</f>
        <v>325.9733333333333</v>
      </c>
      <c r="G16" s="4">
        <f t="shared" si="0"/>
        <v>977.91999999999985</v>
      </c>
      <c r="I16" s="2"/>
      <c r="J16" s="2"/>
    </row>
    <row r="17" spans="1:10" x14ac:dyDescent="0.4">
      <c r="A17" s="3">
        <v>45427</v>
      </c>
      <c r="B17" t="s">
        <v>33</v>
      </c>
      <c r="C17" s="47" t="s">
        <v>17</v>
      </c>
      <c r="D17" s="1" t="s">
        <v>18</v>
      </c>
      <c r="E17" s="1">
        <v>1</v>
      </c>
      <c r="F17" s="2">
        <v>2303.59</v>
      </c>
      <c r="G17" s="4">
        <f t="shared" si="0"/>
        <v>2303.59</v>
      </c>
      <c r="I17" s="2"/>
      <c r="J17" s="2"/>
    </row>
    <row r="18" spans="1:10" x14ac:dyDescent="0.4">
      <c r="A18" s="3">
        <v>45429</v>
      </c>
      <c r="B18" t="s">
        <v>34</v>
      </c>
      <c r="C18" s="47" t="s">
        <v>17</v>
      </c>
      <c r="D18" s="1" t="s">
        <v>18</v>
      </c>
      <c r="E18" s="1">
        <v>1</v>
      </c>
      <c r="F18" s="2">
        <v>919.39</v>
      </c>
      <c r="G18" s="4">
        <f t="shared" si="0"/>
        <v>919.39</v>
      </c>
      <c r="I18" s="2"/>
      <c r="J18" s="2"/>
    </row>
    <row r="19" spans="1:10" x14ac:dyDescent="0.4">
      <c r="A19" s="3">
        <v>45442</v>
      </c>
      <c r="B19" t="s">
        <v>35</v>
      </c>
      <c r="C19" s="47" t="s">
        <v>17</v>
      </c>
      <c r="D19" s="1" t="s">
        <v>18</v>
      </c>
      <c r="E19" s="1">
        <v>1</v>
      </c>
      <c r="F19" s="2">
        <v>1097.8900000000001</v>
      </c>
      <c r="G19" s="4">
        <f t="shared" si="0"/>
        <v>1097.8900000000001</v>
      </c>
      <c r="I19" s="2"/>
      <c r="J19" s="2"/>
    </row>
    <row r="20" spans="1:10" x14ac:dyDescent="0.4">
      <c r="A20" s="3">
        <v>45448</v>
      </c>
      <c r="B20" t="s">
        <v>485</v>
      </c>
      <c r="C20" s="47" t="s">
        <v>17</v>
      </c>
      <c r="D20" s="1" t="s">
        <v>18</v>
      </c>
      <c r="E20" s="1">
        <v>1</v>
      </c>
      <c r="F20" s="2">
        <v>8204.1</v>
      </c>
      <c r="G20" s="4">
        <f t="shared" si="0"/>
        <v>8204.1</v>
      </c>
      <c r="I20" s="2"/>
      <c r="J20" s="2"/>
    </row>
    <row r="21" spans="1:10" x14ac:dyDescent="0.4">
      <c r="A21" s="3">
        <v>45504</v>
      </c>
      <c r="B21" t="s">
        <v>506</v>
      </c>
      <c r="C21" s="47" t="s">
        <v>17</v>
      </c>
      <c r="D21" s="1" t="s">
        <v>18</v>
      </c>
      <c r="E21" s="1">
        <v>3</v>
      </c>
      <c r="F21" s="2">
        <v>44.16</v>
      </c>
      <c r="G21" s="4">
        <f t="shared" si="0"/>
        <v>132.47999999999999</v>
      </c>
      <c r="I21" s="2"/>
      <c r="J21" s="2"/>
    </row>
    <row r="22" spans="1:10" x14ac:dyDescent="0.4">
      <c r="A22" s="3">
        <v>45504</v>
      </c>
      <c r="B22" t="s">
        <v>507</v>
      </c>
      <c r="C22" s="47" t="s">
        <v>17</v>
      </c>
      <c r="D22" s="1" t="s">
        <v>18</v>
      </c>
      <c r="E22" s="1">
        <v>3</v>
      </c>
      <c r="F22" s="2">
        <v>1313.23</v>
      </c>
      <c r="G22" s="4">
        <f t="shared" si="0"/>
        <v>3939.69</v>
      </c>
      <c r="I22" s="2"/>
      <c r="J22" s="2"/>
    </row>
    <row r="23" spans="1:10" x14ac:dyDescent="0.4">
      <c r="A23" s="3">
        <v>45603</v>
      </c>
      <c r="B23" t="s">
        <v>486</v>
      </c>
      <c r="C23" s="47" t="s">
        <v>166</v>
      </c>
      <c r="D23" s="1" t="s">
        <v>18</v>
      </c>
      <c r="E23" s="1">
        <v>1</v>
      </c>
      <c r="F23" s="2">
        <v>5781.05</v>
      </c>
      <c r="G23" s="4">
        <f t="shared" si="0"/>
        <v>5781.05</v>
      </c>
      <c r="I23" s="2"/>
      <c r="J23" s="2"/>
    </row>
    <row r="24" spans="1:10" x14ac:dyDescent="0.4">
      <c r="A24" s="3">
        <v>45603</v>
      </c>
      <c r="B24" t="s">
        <v>487</v>
      </c>
      <c r="C24" s="47" t="s">
        <v>17</v>
      </c>
      <c r="D24" s="1" t="s">
        <v>18</v>
      </c>
      <c r="E24" s="1">
        <v>1</v>
      </c>
      <c r="F24" s="2">
        <v>5329.95</v>
      </c>
      <c r="G24" s="4">
        <f t="shared" si="0"/>
        <v>5329.95</v>
      </c>
      <c r="I24" s="2"/>
      <c r="J24" s="2"/>
    </row>
    <row r="25" spans="1:10" x14ac:dyDescent="0.4">
      <c r="A25" s="3">
        <v>45603</v>
      </c>
      <c r="B25" t="s">
        <v>639</v>
      </c>
      <c r="C25" s="47" t="s">
        <v>17</v>
      </c>
      <c r="D25" s="1" t="s">
        <v>18</v>
      </c>
      <c r="E25" s="1">
        <v>1</v>
      </c>
      <c r="F25" s="2">
        <v>209.9</v>
      </c>
      <c r="G25" s="4">
        <f t="shared" si="0"/>
        <v>209.9</v>
      </c>
      <c r="I25" s="2"/>
      <c r="J25" s="2"/>
    </row>
    <row r="26" spans="1:10" x14ac:dyDescent="0.4">
      <c r="A26" s="3">
        <v>45603</v>
      </c>
      <c r="B26" t="s">
        <v>504</v>
      </c>
      <c r="C26" s="47" t="s">
        <v>17</v>
      </c>
      <c r="D26" s="1" t="s">
        <v>18</v>
      </c>
      <c r="E26" s="1">
        <v>3</v>
      </c>
      <c r="F26" s="2">
        <v>103.94</v>
      </c>
      <c r="G26" s="4">
        <f t="shared" si="0"/>
        <v>311.82</v>
      </c>
      <c r="I26" s="2"/>
      <c r="J26" s="2"/>
    </row>
    <row r="27" spans="1:10" x14ac:dyDescent="0.4">
      <c r="A27" s="3">
        <v>45603</v>
      </c>
      <c r="B27" t="s">
        <v>640</v>
      </c>
      <c r="C27" s="47" t="s">
        <v>17</v>
      </c>
      <c r="D27" s="1" t="s">
        <v>18</v>
      </c>
      <c r="E27" s="1">
        <v>5</v>
      </c>
      <c r="F27" s="2">
        <v>79.733999999999995</v>
      </c>
      <c r="G27" s="4">
        <f t="shared" si="0"/>
        <v>398.66999999999996</v>
      </c>
      <c r="I27" s="2"/>
      <c r="J27" s="2"/>
    </row>
    <row r="28" spans="1:10" x14ac:dyDescent="0.4">
      <c r="A28" s="3">
        <v>45603</v>
      </c>
      <c r="B28" t="s">
        <v>505</v>
      </c>
      <c r="C28" s="47" t="s">
        <v>17</v>
      </c>
      <c r="D28" s="1" t="s">
        <v>18</v>
      </c>
      <c r="E28" s="1">
        <v>5</v>
      </c>
      <c r="F28" s="2">
        <v>277.08999999999997</v>
      </c>
      <c r="G28" s="4">
        <f t="shared" si="0"/>
        <v>1385.4499999999998</v>
      </c>
      <c r="I28" s="2"/>
      <c r="J28" s="2"/>
    </row>
    <row r="29" spans="1:10" x14ac:dyDescent="0.4">
      <c r="A29" s="3">
        <v>45657</v>
      </c>
      <c r="B29" t="s">
        <v>488</v>
      </c>
      <c r="C29" s="47" t="s">
        <v>17</v>
      </c>
      <c r="D29" s="1" t="s">
        <v>18</v>
      </c>
      <c r="E29" s="1">
        <v>1</v>
      </c>
      <c r="F29" s="2">
        <v>18300</v>
      </c>
      <c r="G29" s="4">
        <f t="shared" si="0"/>
        <v>18300</v>
      </c>
      <c r="I29" s="2"/>
      <c r="J29" s="2"/>
    </row>
    <row r="30" spans="1:10" x14ac:dyDescent="0.4">
      <c r="A30" s="3">
        <v>45671</v>
      </c>
      <c r="B30" t="s">
        <v>496</v>
      </c>
      <c r="C30" s="47" t="s">
        <v>17</v>
      </c>
      <c r="D30" s="1" t="s">
        <v>18</v>
      </c>
      <c r="E30" s="1">
        <v>1</v>
      </c>
      <c r="F30" s="2">
        <f>16274+404.36+8978.1</f>
        <v>25656.46</v>
      </c>
      <c r="G30" s="4">
        <f t="shared" si="0"/>
        <v>25656.46</v>
      </c>
      <c r="I30" s="2"/>
      <c r="J30" s="2"/>
    </row>
    <row r="31" spans="1:10" x14ac:dyDescent="0.4">
      <c r="A31" s="3">
        <v>45697</v>
      </c>
      <c r="B31" t="s">
        <v>495</v>
      </c>
      <c r="C31" s="47" t="s">
        <v>17</v>
      </c>
      <c r="D31" s="1" t="s">
        <v>18</v>
      </c>
      <c r="E31" s="1">
        <v>3</v>
      </c>
      <c r="F31" s="2">
        <v>993.93</v>
      </c>
      <c r="G31" s="4">
        <f t="shared" si="0"/>
        <v>2981.79</v>
      </c>
      <c r="I31" s="2"/>
      <c r="J31" s="2"/>
    </row>
    <row r="32" spans="1:10" x14ac:dyDescent="0.4">
      <c r="A32" s="3">
        <v>45728</v>
      </c>
      <c r="B32" t="s">
        <v>521</v>
      </c>
      <c r="C32" t="s">
        <v>17</v>
      </c>
      <c r="D32" s="1" t="s">
        <v>18</v>
      </c>
      <c r="E32" s="1">
        <v>1</v>
      </c>
      <c r="F32" s="2">
        <v>259</v>
      </c>
      <c r="G32" s="4">
        <f t="shared" si="0"/>
        <v>259</v>
      </c>
      <c r="I32" s="2"/>
      <c r="J32" s="2"/>
    </row>
    <row r="33" spans="1:10" x14ac:dyDescent="0.4">
      <c r="A33" s="3">
        <v>45728</v>
      </c>
      <c r="B33" t="s">
        <v>522</v>
      </c>
      <c r="C33" t="s">
        <v>17</v>
      </c>
      <c r="D33" s="1" t="s">
        <v>18</v>
      </c>
      <c r="E33" s="1">
        <v>1</v>
      </c>
      <c r="F33" s="2">
        <v>285.24</v>
      </c>
      <c r="G33" s="4">
        <f t="shared" si="0"/>
        <v>285.24</v>
      </c>
      <c r="I33" s="2"/>
      <c r="J33" s="2"/>
    </row>
    <row r="34" spans="1:10" x14ac:dyDescent="0.4">
      <c r="A34" s="3">
        <v>45728</v>
      </c>
      <c r="B34" t="s">
        <v>523</v>
      </c>
      <c r="C34" t="s">
        <v>17</v>
      </c>
      <c r="D34" s="1" t="s">
        <v>18</v>
      </c>
      <c r="E34" s="1">
        <v>1</v>
      </c>
      <c r="F34" s="2">
        <v>167.96</v>
      </c>
      <c r="G34" s="4">
        <f t="shared" si="0"/>
        <v>167.96</v>
      </c>
      <c r="I34" s="2"/>
      <c r="J34" s="2"/>
    </row>
    <row r="35" spans="1:10" x14ac:dyDescent="0.4">
      <c r="A35" s="3">
        <v>45740</v>
      </c>
      <c r="B35" t="s">
        <v>514</v>
      </c>
      <c r="C35" s="47" t="s">
        <v>17</v>
      </c>
      <c r="D35" s="1" t="s">
        <v>18</v>
      </c>
      <c r="E35" s="1">
        <v>5</v>
      </c>
      <c r="F35" s="2">
        <v>4247.46</v>
      </c>
      <c r="G35" s="4">
        <f t="shared" si="0"/>
        <v>21237.3</v>
      </c>
      <c r="I35" s="2"/>
      <c r="J35" s="2"/>
    </row>
    <row r="36" spans="1:10" x14ac:dyDescent="0.4">
      <c r="A36" s="3">
        <v>45765</v>
      </c>
      <c r="B36" t="s">
        <v>518</v>
      </c>
      <c r="C36" t="s">
        <v>17</v>
      </c>
      <c r="D36" s="1" t="s">
        <v>18</v>
      </c>
      <c r="E36" s="1">
        <v>3</v>
      </c>
      <c r="F36" s="2">
        <v>199</v>
      </c>
      <c r="G36" s="4">
        <f t="shared" si="0"/>
        <v>597</v>
      </c>
      <c r="I36" s="2"/>
      <c r="J36" s="2"/>
    </row>
    <row r="37" spans="1:10" x14ac:dyDescent="0.4">
      <c r="A37" s="3">
        <v>45765</v>
      </c>
      <c r="B37" t="s">
        <v>519</v>
      </c>
      <c r="C37" t="s">
        <v>17</v>
      </c>
      <c r="D37" s="1" t="s">
        <v>18</v>
      </c>
      <c r="E37" s="1">
        <v>1</v>
      </c>
      <c r="F37" s="2">
        <v>179</v>
      </c>
      <c r="G37" s="4">
        <f t="shared" si="0"/>
        <v>179</v>
      </c>
      <c r="I37" s="2"/>
      <c r="J37" s="2"/>
    </row>
    <row r="38" spans="1:10" x14ac:dyDescent="0.4">
      <c r="A38" s="3">
        <v>45765</v>
      </c>
      <c r="B38" t="s">
        <v>520</v>
      </c>
      <c r="C38" t="s">
        <v>17</v>
      </c>
      <c r="D38" s="1" t="s">
        <v>18</v>
      </c>
      <c r="E38" s="1">
        <v>1</v>
      </c>
      <c r="F38" s="2">
        <v>158</v>
      </c>
      <c r="G38" s="4">
        <f t="shared" si="0"/>
        <v>158</v>
      </c>
      <c r="I38" s="2"/>
      <c r="J38" s="2"/>
    </row>
    <row r="39" spans="1:10" x14ac:dyDescent="0.4">
      <c r="A39" s="3">
        <v>45771</v>
      </c>
      <c r="B39" t="s">
        <v>517</v>
      </c>
      <c r="C39" s="47" t="s">
        <v>17</v>
      </c>
      <c r="D39" s="1" t="s">
        <v>18</v>
      </c>
      <c r="E39" s="1">
        <v>5</v>
      </c>
      <c r="F39" s="2">
        <v>6183.2120000000004</v>
      </c>
      <c r="G39" s="4">
        <f t="shared" si="0"/>
        <v>30916.06</v>
      </c>
      <c r="I39" s="2"/>
      <c r="J39" s="2"/>
    </row>
    <row r="40" spans="1:10" x14ac:dyDescent="0.4">
      <c r="A40" s="3">
        <v>45771</v>
      </c>
      <c r="B40" t="s">
        <v>544</v>
      </c>
      <c r="C40" t="s">
        <v>17</v>
      </c>
      <c r="D40" s="1" t="s">
        <v>18</v>
      </c>
      <c r="E40" s="1">
        <v>8</v>
      </c>
      <c r="F40" s="2">
        <v>657</v>
      </c>
      <c r="G40" s="4">
        <f t="shared" si="0"/>
        <v>5256</v>
      </c>
      <c r="I40" s="2"/>
      <c r="J40" s="2"/>
    </row>
    <row r="41" spans="1:10" x14ac:dyDescent="0.4">
      <c r="A41" s="3">
        <v>45777</v>
      </c>
      <c r="B41" t="s">
        <v>545</v>
      </c>
      <c r="C41" t="s">
        <v>17</v>
      </c>
      <c r="D41" s="1" t="s">
        <v>18</v>
      </c>
      <c r="E41" s="1">
        <v>1</v>
      </c>
      <c r="F41" s="2">
        <v>1105.44</v>
      </c>
      <c r="G41" s="4">
        <f t="shared" si="0"/>
        <v>1105.44</v>
      </c>
    </row>
    <row r="42" spans="1:10" x14ac:dyDescent="0.4">
      <c r="A42" s="3">
        <v>45798</v>
      </c>
      <c r="B42" t="s">
        <v>543</v>
      </c>
      <c r="C42" t="s">
        <v>17</v>
      </c>
      <c r="D42" s="1" t="s">
        <v>18</v>
      </c>
      <c r="E42" s="1">
        <v>9</v>
      </c>
      <c r="F42" s="2">
        <v>188.35</v>
      </c>
      <c r="G42" s="4">
        <f t="shared" si="0"/>
        <v>1695.1499999999999</v>
      </c>
      <c r="J42" s="2"/>
    </row>
    <row r="43" spans="1:10" x14ac:dyDescent="0.4">
      <c r="A43" s="3">
        <v>45799</v>
      </c>
      <c r="B43" t="s">
        <v>542</v>
      </c>
      <c r="C43" t="s">
        <v>17</v>
      </c>
      <c r="D43" s="1" t="s">
        <v>18</v>
      </c>
      <c r="E43" s="1">
        <v>9</v>
      </c>
      <c r="F43" s="2">
        <v>96.33</v>
      </c>
      <c r="G43" s="4">
        <f t="shared" si="0"/>
        <v>866.97</v>
      </c>
    </row>
    <row r="44" spans="1:10" x14ac:dyDescent="0.4">
      <c r="A44" s="3">
        <v>45804</v>
      </c>
      <c r="B44" t="s">
        <v>550</v>
      </c>
      <c r="C44" t="s">
        <v>17</v>
      </c>
      <c r="D44" s="1" t="s">
        <v>18</v>
      </c>
      <c r="E44" s="1">
        <v>3</v>
      </c>
      <c r="F44" s="2">
        <v>430.03</v>
      </c>
      <c r="G44" s="4">
        <f t="shared" si="0"/>
        <v>1290.0899999999999</v>
      </c>
    </row>
    <row r="45" spans="1:10" x14ac:dyDescent="0.4">
      <c r="A45" s="3">
        <v>45887</v>
      </c>
      <c r="B45" t="s">
        <v>632</v>
      </c>
      <c r="C45" t="s">
        <v>17</v>
      </c>
      <c r="D45" s="1" t="s">
        <v>18</v>
      </c>
      <c r="E45" s="1">
        <v>5</v>
      </c>
      <c r="F45" s="2">
        <f>15977.11/5</f>
        <v>3195.422</v>
      </c>
      <c r="G45" s="4">
        <f t="shared" si="0"/>
        <v>15977.11</v>
      </c>
    </row>
    <row r="46" spans="1:10" x14ac:dyDescent="0.4">
      <c r="A46" s="3">
        <v>45887</v>
      </c>
      <c r="B46" t="s">
        <v>633</v>
      </c>
      <c r="C46" t="s">
        <v>17</v>
      </c>
      <c r="D46" s="1" t="s">
        <v>18</v>
      </c>
      <c r="E46" s="1">
        <v>10</v>
      </c>
      <c r="F46" s="2">
        <v>297.31</v>
      </c>
      <c r="G46" s="4">
        <f t="shared" si="0"/>
        <v>2973.1</v>
      </c>
    </row>
    <row r="47" spans="1:10" x14ac:dyDescent="0.4">
      <c r="A47" s="3">
        <v>45887</v>
      </c>
      <c r="B47" t="s">
        <v>639</v>
      </c>
      <c r="C47" t="s">
        <v>17</v>
      </c>
      <c r="D47" s="1" t="s">
        <v>18</v>
      </c>
      <c r="E47" s="1">
        <v>10</v>
      </c>
      <c r="F47" s="2">
        <v>60.75</v>
      </c>
      <c r="G47" s="4">
        <f t="shared" si="0"/>
        <v>607.5</v>
      </c>
    </row>
    <row r="48" spans="1:10" x14ac:dyDescent="0.4">
      <c r="A48" s="3">
        <v>45887</v>
      </c>
      <c r="B48" t="s">
        <v>640</v>
      </c>
      <c r="C48" t="s">
        <v>17</v>
      </c>
      <c r="D48" s="1" t="s">
        <v>18</v>
      </c>
      <c r="E48" s="1">
        <v>10</v>
      </c>
      <c r="F48" s="2">
        <v>81.040000000000006</v>
      </c>
      <c r="G48" s="4">
        <f t="shared" si="0"/>
        <v>810.40000000000009</v>
      </c>
    </row>
    <row r="49" spans="1:7" x14ac:dyDescent="0.4">
      <c r="A49" s="3">
        <v>45888</v>
      </c>
      <c r="B49" t="s">
        <v>634</v>
      </c>
      <c r="C49" t="s">
        <v>17</v>
      </c>
      <c r="D49" s="1" t="s">
        <v>18</v>
      </c>
      <c r="E49" s="1">
        <v>2</v>
      </c>
      <c r="F49" s="2">
        <v>2899</v>
      </c>
      <c r="G49" s="4">
        <f t="shared" si="0"/>
        <v>5798</v>
      </c>
    </row>
    <row r="50" spans="1:7" x14ac:dyDescent="0.4">
      <c r="A50" s="3">
        <v>45888</v>
      </c>
      <c r="B50" t="s">
        <v>635</v>
      </c>
      <c r="C50" t="s">
        <v>17</v>
      </c>
      <c r="D50" s="1" t="s">
        <v>18</v>
      </c>
      <c r="E50" s="1">
        <v>1</v>
      </c>
      <c r="F50" s="2">
        <v>599</v>
      </c>
      <c r="G50" s="4">
        <f t="shared" si="0"/>
        <v>599</v>
      </c>
    </row>
    <row r="51" spans="1:7" x14ac:dyDescent="0.4">
      <c r="A51" s="3">
        <v>45888</v>
      </c>
      <c r="B51" t="s">
        <v>638</v>
      </c>
      <c r="C51" t="s">
        <v>17</v>
      </c>
      <c r="D51" s="1" t="s">
        <v>18</v>
      </c>
      <c r="E51" s="1">
        <v>1</v>
      </c>
      <c r="F51" s="2">
        <v>1608.35</v>
      </c>
      <c r="G51" s="4">
        <f t="shared" si="0"/>
        <v>1608.35</v>
      </c>
    </row>
    <row r="52" spans="1:7" x14ac:dyDescent="0.4">
      <c r="A52" s="3">
        <v>45888</v>
      </c>
      <c r="B52" t="s">
        <v>641</v>
      </c>
      <c r="C52" t="s">
        <v>17</v>
      </c>
      <c r="D52" s="1" t="s">
        <v>18</v>
      </c>
      <c r="E52" s="1">
        <v>10</v>
      </c>
      <c r="F52" s="2">
        <v>248.79</v>
      </c>
      <c r="G52" s="4">
        <f t="shared" si="0"/>
        <v>2487.9</v>
      </c>
    </row>
    <row r="53" spans="1:7" x14ac:dyDescent="0.4">
      <c r="A53" s="3">
        <v>45889</v>
      </c>
      <c r="B53" t="s">
        <v>642</v>
      </c>
      <c r="C53" t="s">
        <v>17</v>
      </c>
      <c r="D53" s="1" t="s">
        <v>18</v>
      </c>
      <c r="E53" s="1">
        <v>1</v>
      </c>
      <c r="F53" s="2">
        <v>3756.8</v>
      </c>
      <c r="G53" s="4">
        <f t="shared" si="0"/>
        <v>3756.8</v>
      </c>
    </row>
    <row r="54" spans="1:7" x14ac:dyDescent="0.4">
      <c r="A54" s="3">
        <v>45959</v>
      </c>
      <c r="B54" t="s">
        <v>769</v>
      </c>
      <c r="C54" t="s">
        <v>17</v>
      </c>
      <c r="D54" t="s">
        <v>8</v>
      </c>
      <c r="E54" s="1">
        <v>1</v>
      </c>
      <c r="F54" s="2">
        <v>6750</v>
      </c>
      <c r="G54" s="4">
        <f t="shared" si="0"/>
        <v>6750</v>
      </c>
    </row>
    <row r="55" spans="1:7" x14ac:dyDescent="0.4">
      <c r="A55" s="3"/>
      <c r="F55" s="2"/>
      <c r="G55" s="4">
        <f t="shared" si="0"/>
        <v>0</v>
      </c>
    </row>
    <row r="56" spans="1:7" x14ac:dyDescent="0.4">
      <c r="A56" s="3"/>
      <c r="F56" s="2"/>
      <c r="G56" s="4">
        <f t="shared" si="0"/>
        <v>0</v>
      </c>
    </row>
    <row r="57" spans="1:7" x14ac:dyDescent="0.4">
      <c r="A57" s="3"/>
      <c r="F57" s="2"/>
      <c r="G57" s="4">
        <f t="shared" si="0"/>
        <v>0</v>
      </c>
    </row>
    <row r="58" spans="1:7" x14ac:dyDescent="0.4">
      <c r="A58" s="3"/>
      <c r="F58" s="2"/>
      <c r="G58" s="4">
        <f t="shared" si="0"/>
        <v>0</v>
      </c>
    </row>
    <row r="59" spans="1:7" x14ac:dyDescent="0.4">
      <c r="A59" s="3"/>
      <c r="F59" s="2"/>
      <c r="G59" s="4">
        <f t="shared" si="0"/>
        <v>0</v>
      </c>
    </row>
    <row r="60" spans="1:7" x14ac:dyDescent="0.4">
      <c r="A60" s="3"/>
      <c r="F60" s="2"/>
      <c r="G60" s="4">
        <f t="shared" si="0"/>
        <v>0</v>
      </c>
    </row>
    <row r="61" spans="1:7" x14ac:dyDescent="0.4">
      <c r="A61" s="3"/>
      <c r="F61" s="2"/>
      <c r="G61" s="4">
        <f t="shared" si="0"/>
        <v>0</v>
      </c>
    </row>
    <row r="62" spans="1:7" x14ac:dyDescent="0.4">
      <c r="A62" s="3"/>
      <c r="F62" s="2"/>
      <c r="G62" s="4">
        <f t="shared" si="0"/>
        <v>0</v>
      </c>
    </row>
    <row r="63" spans="1:7" x14ac:dyDescent="0.4">
      <c r="A63" s="3"/>
      <c r="F63" s="2"/>
      <c r="G63" s="4">
        <f t="shared" si="0"/>
        <v>0</v>
      </c>
    </row>
    <row r="64" spans="1:7" x14ac:dyDescent="0.4">
      <c r="A64" s="3"/>
      <c r="F64" s="2"/>
      <c r="G64" s="4">
        <f t="shared" si="0"/>
        <v>0</v>
      </c>
    </row>
    <row r="65" spans="1:7" x14ac:dyDescent="0.4">
      <c r="A65" s="3"/>
      <c r="F65" s="2"/>
      <c r="G65" s="4">
        <f t="shared" si="0"/>
        <v>0</v>
      </c>
    </row>
    <row r="66" spans="1:7" x14ac:dyDescent="0.4">
      <c r="A66" s="3"/>
      <c r="F66" s="2"/>
      <c r="G66" s="4">
        <f t="shared" ref="G66:G67" si="1">F66*E66</f>
        <v>0</v>
      </c>
    </row>
    <row r="67" spans="1:7" x14ac:dyDescent="0.4">
      <c r="A67" s="3"/>
      <c r="F67" s="2"/>
      <c r="G67" s="4">
        <f t="shared" si="1"/>
        <v>0</v>
      </c>
    </row>
    <row r="68" spans="1:7" x14ac:dyDescent="0.4">
      <c r="A68" s="3" t="s">
        <v>10</v>
      </c>
      <c r="F68" s="2"/>
      <c r="G68" s="2">
        <f>SUM(Table2[Total])</f>
        <v>188553.91999999998</v>
      </c>
    </row>
    <row r="69" spans="1:7" x14ac:dyDescent="0.4">
      <c r="F69" s="2"/>
      <c r="G69" s="2"/>
    </row>
    <row r="70" spans="1:7" x14ac:dyDescent="0.4">
      <c r="F70" s="2"/>
      <c r="G70" s="2"/>
    </row>
    <row r="71" spans="1:7" x14ac:dyDescent="0.4">
      <c r="F71" s="2"/>
      <c r="G71" s="2"/>
    </row>
    <row r="72" spans="1:7" x14ac:dyDescent="0.4">
      <c r="F72" s="2"/>
      <c r="G72" s="2"/>
    </row>
    <row r="73" spans="1:7" x14ac:dyDescent="0.4">
      <c r="F73" s="2"/>
      <c r="G73" s="2"/>
    </row>
    <row r="74" spans="1:7" x14ac:dyDescent="0.4">
      <c r="F74" s="2"/>
      <c r="G74" s="2"/>
    </row>
    <row r="75" spans="1:7" x14ac:dyDescent="0.4">
      <c r="F75" s="2"/>
      <c r="G7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B971-7A44-471B-94F3-86880B27AB17}">
  <dimension ref="A1:AY120"/>
  <sheetViews>
    <sheetView tabSelected="1" zoomScaleNormal="100" zoomScaleSheetLayoutView="70" workbookViewId="0">
      <pane xSplit="5" ySplit="1" topLeftCell="P2" activePane="bottomRight" state="frozen"/>
      <selection pane="topRight" activeCell="F1" sqref="F1"/>
      <selection pane="bottomLeft" activeCell="A2" sqref="A2"/>
      <selection pane="bottomRight" activeCell="J84" sqref="J84"/>
    </sheetView>
  </sheetViews>
  <sheetFormatPr baseColWidth="10" defaultColWidth="8.84375" defaultRowHeight="14.6" x14ac:dyDescent="0.4"/>
  <cols>
    <col min="1" max="1" width="10.23046875" style="21" customWidth="1"/>
    <col min="2" max="2" width="31.3046875" customWidth="1"/>
    <col min="3" max="3" width="7.53515625" style="1" customWidth="1"/>
    <col min="4" max="4" width="16.23046875" customWidth="1"/>
    <col min="5" max="5" width="21.69140625" style="20" bestFit="1" customWidth="1"/>
    <col min="6" max="6" width="16.765625" style="20" bestFit="1" customWidth="1"/>
    <col min="7" max="7" width="16" customWidth="1"/>
    <col min="8" max="8" width="16.23046875" customWidth="1"/>
    <col min="9" max="9" width="5.07421875" style="1" customWidth="1"/>
    <col min="10" max="10" width="17.23046875" customWidth="1"/>
    <col min="11" max="11" width="14.84375" style="1" customWidth="1"/>
    <col min="12" max="12" width="17.07421875" style="1" customWidth="1"/>
    <col min="13" max="13" width="9.69140625" style="1" customWidth="1"/>
    <col min="14" max="14" width="15.23046875" style="5" hidden="1" customWidth="1"/>
    <col min="16" max="16" width="11.3046875" bestFit="1" customWidth="1"/>
    <col min="17" max="17" width="16.23046875" bestFit="1" customWidth="1"/>
    <col min="18" max="18" width="9.07421875" bestFit="1" customWidth="1"/>
    <col min="19" max="19" width="11.07421875" bestFit="1" customWidth="1"/>
    <col min="20" max="20" width="14.84375" bestFit="1" customWidth="1"/>
    <col min="21" max="21" width="12.07421875" bestFit="1" customWidth="1"/>
    <col min="22" max="22" width="14.4609375" bestFit="1" customWidth="1"/>
    <col min="23" max="23" width="13.69140625" bestFit="1" customWidth="1"/>
    <col min="24" max="24" width="10.15234375" bestFit="1" customWidth="1"/>
    <col min="25" max="25" width="11.765625" bestFit="1" customWidth="1"/>
    <col min="26" max="26" width="10.61328125" bestFit="1" customWidth="1"/>
    <col min="27" max="27" width="9.921875" bestFit="1" customWidth="1"/>
    <col min="28" max="28" width="10.07421875" bestFit="1" customWidth="1"/>
    <col min="29" max="29" width="9.921875" bestFit="1" customWidth="1"/>
    <col min="30" max="30" width="10.07421875" bestFit="1" customWidth="1"/>
    <col min="31" max="31" width="12.07421875" bestFit="1" customWidth="1"/>
    <col min="32" max="32" width="15.84375" bestFit="1" customWidth="1"/>
    <col min="33" max="33" width="13.07421875" bestFit="1" customWidth="1"/>
    <col min="34" max="34" width="15.4609375" bestFit="1" customWidth="1"/>
    <col min="35" max="35" width="14.69140625" bestFit="1" customWidth="1"/>
    <col min="36" max="36" width="11.15234375" bestFit="1" customWidth="1"/>
    <col min="37" max="37" width="12.765625" bestFit="1" customWidth="1"/>
    <col min="38" max="38" width="11.61328125" bestFit="1" customWidth="1"/>
    <col min="39" max="39" width="10.23046875" bestFit="1" customWidth="1"/>
    <col min="40" max="40" width="11.07421875" bestFit="1" customWidth="1"/>
    <col min="41" max="41" width="10.69140625" bestFit="1" customWidth="1"/>
    <col min="42" max="42" width="10.07421875" bestFit="1" customWidth="1"/>
    <col min="43" max="43" width="12.07421875" bestFit="1" customWidth="1"/>
    <col min="44" max="44" width="15.84375" bestFit="1" customWidth="1"/>
    <col min="45" max="47" width="10.4609375" customWidth="1"/>
    <col min="48" max="48" width="12" bestFit="1" customWidth="1"/>
    <col min="49" max="49" width="17.07421875" bestFit="1" customWidth="1"/>
  </cols>
  <sheetData>
    <row r="1" spans="1:49" x14ac:dyDescent="0.4">
      <c r="A1" s="55" t="s">
        <v>59</v>
      </c>
      <c r="B1" t="s">
        <v>60</v>
      </c>
      <c r="C1" s="1" t="s">
        <v>61</v>
      </c>
      <c r="D1" t="s">
        <v>62</v>
      </c>
      <c r="E1" s="20" t="s">
        <v>63</v>
      </c>
      <c r="F1" s="20" t="s">
        <v>64</v>
      </c>
      <c r="G1" t="s">
        <v>65</v>
      </c>
      <c r="H1" t="s">
        <v>66</v>
      </c>
      <c r="I1" s="1" t="s">
        <v>67</v>
      </c>
      <c r="J1" t="s">
        <v>68</v>
      </c>
      <c r="K1" s="1" t="s">
        <v>13</v>
      </c>
      <c r="L1" s="1" t="s">
        <v>69</v>
      </c>
      <c r="M1" s="1" t="s">
        <v>14</v>
      </c>
      <c r="N1" s="5" t="s">
        <v>15</v>
      </c>
      <c r="O1" s="1" t="s">
        <v>70</v>
      </c>
      <c r="P1" s="1" t="s">
        <v>51</v>
      </c>
      <c r="Q1" s="1" t="s">
        <v>71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79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90</v>
      </c>
      <c r="AK1" s="1" t="s">
        <v>91</v>
      </c>
      <c r="AL1" s="1" t="s">
        <v>92</v>
      </c>
      <c r="AM1" s="48" t="s">
        <v>515</v>
      </c>
      <c r="AN1" s="48" t="s">
        <v>524</v>
      </c>
      <c r="AO1" s="48" t="s">
        <v>548</v>
      </c>
      <c r="AP1" s="48" t="s">
        <v>557</v>
      </c>
      <c r="AQ1" s="48" t="s">
        <v>558</v>
      </c>
      <c r="AR1" s="1" t="s">
        <v>559</v>
      </c>
      <c r="AS1" s="1" t="s">
        <v>662</v>
      </c>
      <c r="AT1" s="1" t="s">
        <v>663</v>
      </c>
      <c r="AU1" s="1" t="s">
        <v>664</v>
      </c>
      <c r="AV1" s="1" t="s">
        <v>10</v>
      </c>
      <c r="AW1" s="1" t="s">
        <v>549</v>
      </c>
    </row>
    <row r="2" spans="1:49" s="31" customFormat="1" x14ac:dyDescent="0.4">
      <c r="A2" s="53">
        <v>88</v>
      </c>
      <c r="B2" s="27" t="s">
        <v>643</v>
      </c>
      <c r="C2" s="28">
        <v>17</v>
      </c>
      <c r="D2" s="27" t="s">
        <v>43</v>
      </c>
      <c r="E2" s="61">
        <v>45835</v>
      </c>
      <c r="F2" s="29">
        <v>45865</v>
      </c>
      <c r="G2" s="27" t="s">
        <v>94</v>
      </c>
      <c r="H2" s="27" t="s">
        <v>46</v>
      </c>
      <c r="I2" s="28" t="s">
        <v>53</v>
      </c>
      <c r="J2" s="27" t="s">
        <v>656</v>
      </c>
      <c r="K2" s="28" t="s">
        <v>95</v>
      </c>
      <c r="L2" s="28" t="s">
        <v>728</v>
      </c>
      <c r="M2" s="28">
        <v>1</v>
      </c>
      <c r="N2" s="30"/>
      <c r="O2" s="27" t="s">
        <v>118</v>
      </c>
      <c r="P2" s="27" t="s">
        <v>50</v>
      </c>
      <c r="Q2" s="27" t="str">
        <f>_xlfn.CONCAT(Table14[[#This Row],[Clase]]," ",Table14[[#This Row],[Tipo]])</f>
        <v>Batería G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1275</v>
      </c>
      <c r="AQ2" s="30">
        <v>1275</v>
      </c>
      <c r="AR2" s="30">
        <v>1275</v>
      </c>
      <c r="AS2" s="30">
        <v>1350</v>
      </c>
      <c r="AT2" s="30">
        <v>1350</v>
      </c>
      <c r="AU2" s="30">
        <v>0</v>
      </c>
      <c r="AV2" s="51">
        <f>SUM(Table14[[#This Row],[Julio]:[Diciembre2]])</f>
        <v>6525</v>
      </c>
      <c r="AW2" s="41"/>
    </row>
    <row r="3" spans="1:49" x14ac:dyDescent="0.4">
      <c r="A3" s="53">
        <v>26</v>
      </c>
      <c r="B3" t="s">
        <v>129</v>
      </c>
      <c r="C3" s="1">
        <v>11</v>
      </c>
      <c r="D3" t="s">
        <v>38</v>
      </c>
      <c r="E3" s="59">
        <v>45447</v>
      </c>
      <c r="F3" s="20">
        <v>45477</v>
      </c>
      <c r="G3" t="s">
        <v>94</v>
      </c>
      <c r="H3" t="s">
        <v>46</v>
      </c>
      <c r="I3" s="1" t="s">
        <v>53</v>
      </c>
      <c r="J3" t="s">
        <v>691</v>
      </c>
      <c r="K3" s="1" t="s">
        <v>95</v>
      </c>
      <c r="L3" s="1" t="s">
        <v>130</v>
      </c>
      <c r="M3" s="1">
        <v>1</v>
      </c>
      <c r="N3" s="23">
        <v>1350</v>
      </c>
      <c r="O3" t="s">
        <v>106</v>
      </c>
      <c r="P3" t="s">
        <v>44</v>
      </c>
      <c r="Q3" t="str">
        <f>_xlfn.CONCAT(Table14[[#This Row],[Clase]]," ",Table14[[#This Row],[Tipo]])</f>
        <v>Batería G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1350</v>
      </c>
      <c r="AD3" s="23">
        <v>1350</v>
      </c>
      <c r="AE3" s="23">
        <v>1350</v>
      </c>
      <c r="AF3" s="23">
        <v>1350</v>
      </c>
      <c r="AG3" s="23">
        <v>1350</v>
      </c>
      <c r="AH3" s="23">
        <v>1350</v>
      </c>
      <c r="AI3" s="23">
        <v>1350</v>
      </c>
      <c r="AJ3" s="23">
        <v>1350</v>
      </c>
      <c r="AK3" s="41">
        <v>1350</v>
      </c>
      <c r="AL3" s="41">
        <v>1350</v>
      </c>
      <c r="AM3" s="41">
        <v>1350</v>
      </c>
      <c r="AN3" s="41">
        <v>1350</v>
      </c>
      <c r="AO3" s="41">
        <v>1350</v>
      </c>
      <c r="AP3" s="41">
        <v>1350</v>
      </c>
      <c r="AQ3" s="41">
        <v>1350</v>
      </c>
      <c r="AR3" s="23">
        <v>1350</v>
      </c>
      <c r="AS3" s="23">
        <v>1350</v>
      </c>
      <c r="AT3" s="23">
        <v>1350</v>
      </c>
      <c r="AU3" s="23"/>
      <c r="AV3" s="4">
        <f>SUM(Table14[[#This Row],[Julio]:[Diciembre2]])</f>
        <v>24300</v>
      </c>
      <c r="AW3" s="23"/>
    </row>
    <row r="4" spans="1:49" s="27" customFormat="1" x14ac:dyDescent="0.4">
      <c r="A4" s="64">
        <v>87</v>
      </c>
      <c r="B4" s="27" t="s">
        <v>565</v>
      </c>
      <c r="C4" s="28">
        <v>11</v>
      </c>
      <c r="D4" s="27" t="s">
        <v>40</v>
      </c>
      <c r="E4" s="61">
        <v>45835</v>
      </c>
      <c r="F4" s="29">
        <v>45865</v>
      </c>
      <c r="G4" s="27" t="s">
        <v>94</v>
      </c>
      <c r="H4" s="27" t="s">
        <v>45</v>
      </c>
      <c r="I4" s="28" t="s">
        <v>53</v>
      </c>
      <c r="J4" s="27" t="s">
        <v>656</v>
      </c>
      <c r="K4" s="28" t="s">
        <v>95</v>
      </c>
      <c r="L4" s="28"/>
      <c r="M4" s="28">
        <v>1</v>
      </c>
      <c r="N4" s="23"/>
      <c r="O4" s="27" t="s">
        <v>118</v>
      </c>
      <c r="P4" s="27" t="s">
        <v>50</v>
      </c>
      <c r="Q4" s="27" t="str">
        <f>_xlfn.CONCAT(Table14[[#This Row],[Clase]]," ",Table14[[#This Row],[Tipo]])</f>
        <v>Guitarra G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f>2550/2</f>
        <v>1275</v>
      </c>
      <c r="AP4" s="30">
        <v>1275</v>
      </c>
      <c r="AQ4" s="30">
        <v>1275</v>
      </c>
      <c r="AR4" s="30">
        <v>0</v>
      </c>
      <c r="AS4" s="30">
        <v>0</v>
      </c>
      <c r="AT4" s="30">
        <v>0</v>
      </c>
      <c r="AU4" s="23"/>
      <c r="AV4" s="38">
        <f>SUM(Table14[[#This Row],[Julio]:[Diciembre2]])</f>
        <v>3825</v>
      </c>
      <c r="AW4" s="23" t="s">
        <v>661</v>
      </c>
    </row>
    <row r="5" spans="1:49" x14ac:dyDescent="0.4">
      <c r="A5" s="53">
        <v>93</v>
      </c>
      <c r="B5" t="s">
        <v>603</v>
      </c>
      <c r="C5" s="1">
        <v>28</v>
      </c>
      <c r="D5" t="s">
        <v>40</v>
      </c>
      <c r="E5" s="60">
        <v>45850</v>
      </c>
      <c r="F5" s="20">
        <v>45881</v>
      </c>
      <c r="G5" t="s">
        <v>94</v>
      </c>
      <c r="H5" t="s">
        <v>45</v>
      </c>
      <c r="I5" s="1" t="s">
        <v>53</v>
      </c>
      <c r="J5" t="s">
        <v>692</v>
      </c>
      <c r="K5" s="1" t="s">
        <v>95</v>
      </c>
      <c r="M5" s="1">
        <v>1</v>
      </c>
      <c r="N5" s="23"/>
      <c r="O5" t="s">
        <v>118</v>
      </c>
      <c r="P5" t="s">
        <v>44</v>
      </c>
      <c r="Q5" t="str">
        <f>_xlfn.CONCAT(Table14[[#This Row],[Clase]]," ",Table14[[#This Row],[Tipo]])</f>
        <v>Guitarra G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>
        <v>0</v>
      </c>
      <c r="AE5" s="23">
        <v>0</v>
      </c>
      <c r="AF5" s="23">
        <v>0</v>
      </c>
      <c r="AG5" s="49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  <c r="AP5" s="23">
        <v>1350</v>
      </c>
      <c r="AQ5" s="23">
        <v>1350</v>
      </c>
      <c r="AR5" s="23">
        <v>1350</v>
      </c>
      <c r="AS5" s="23">
        <v>1350</v>
      </c>
      <c r="AT5" s="23">
        <v>1350</v>
      </c>
      <c r="AU5" s="23"/>
      <c r="AV5" s="38">
        <f>SUM(Table14[[#This Row],[Julio]:[Diciembre2]])</f>
        <v>6750</v>
      </c>
      <c r="AW5" s="23"/>
    </row>
    <row r="6" spans="1:49" x14ac:dyDescent="0.4">
      <c r="A6" s="53">
        <v>7</v>
      </c>
      <c r="B6" t="s">
        <v>104</v>
      </c>
      <c r="C6" s="1">
        <v>12</v>
      </c>
      <c r="D6" t="s">
        <v>40</v>
      </c>
      <c r="E6" s="60">
        <v>45178</v>
      </c>
      <c r="F6" s="20">
        <v>45208</v>
      </c>
      <c r="G6" t="s">
        <v>94</v>
      </c>
      <c r="H6" t="s">
        <v>45</v>
      </c>
      <c r="I6" s="1" t="s">
        <v>54</v>
      </c>
      <c r="J6" t="s">
        <v>715</v>
      </c>
      <c r="K6" s="1" t="s">
        <v>95</v>
      </c>
      <c r="L6" s="1" t="s">
        <v>116</v>
      </c>
      <c r="M6" s="1">
        <v>1</v>
      </c>
      <c r="N6" s="23">
        <v>1900</v>
      </c>
      <c r="O6" t="s">
        <v>106</v>
      </c>
      <c r="P6" t="s">
        <v>44</v>
      </c>
      <c r="Q6" t="str">
        <f>_xlfn.CONCAT(Table14[[#This Row],[Clase]]," ",Table14[[#This Row],[Tipo]])</f>
        <v>Guitarra I</v>
      </c>
      <c r="R6" s="23">
        <v>0</v>
      </c>
      <c r="S6" s="23">
        <v>0</v>
      </c>
      <c r="T6" s="23">
        <v>1900</v>
      </c>
      <c r="U6" s="23">
        <v>2000</v>
      </c>
      <c r="V6" s="23">
        <v>2000</v>
      </c>
      <c r="W6" s="23">
        <v>2000</v>
      </c>
      <c r="X6" s="23">
        <v>2000</v>
      </c>
      <c r="Y6" s="23">
        <v>2000</v>
      </c>
      <c r="Z6" s="23">
        <v>2000</v>
      </c>
      <c r="AA6" s="23">
        <v>2000</v>
      </c>
      <c r="AB6" s="23">
        <v>2000</v>
      </c>
      <c r="AC6" s="23">
        <v>2000</v>
      </c>
      <c r="AD6" s="23">
        <v>2000</v>
      </c>
      <c r="AE6" s="23">
        <v>0</v>
      </c>
      <c r="AF6" s="23">
        <v>2000</v>
      </c>
      <c r="AG6" s="23">
        <v>1800</v>
      </c>
      <c r="AH6" s="23">
        <v>1800</v>
      </c>
      <c r="AI6" s="23">
        <v>1800</v>
      </c>
      <c r="AJ6" s="23">
        <v>1800</v>
      </c>
      <c r="AK6" s="23">
        <v>1800</v>
      </c>
      <c r="AL6" s="23">
        <v>1800</v>
      </c>
      <c r="AM6" s="23">
        <v>1800</v>
      </c>
      <c r="AN6" s="23">
        <v>1800</v>
      </c>
      <c r="AO6" s="23">
        <v>1800</v>
      </c>
      <c r="AP6" s="23">
        <v>1800</v>
      </c>
      <c r="AQ6" s="23">
        <v>1800</v>
      </c>
      <c r="AR6" s="23">
        <v>1800</v>
      </c>
      <c r="AS6" s="23">
        <v>1800</v>
      </c>
      <c r="AT6" s="41">
        <v>1800</v>
      </c>
      <c r="AU6" s="23"/>
      <c r="AV6" s="4">
        <f>SUM(Table14[[#This Row],[Julio]:[Diciembre2]])</f>
        <v>49100</v>
      </c>
      <c r="AW6" s="23"/>
    </row>
    <row r="7" spans="1:49" s="31" customFormat="1" x14ac:dyDescent="0.4">
      <c r="A7" s="64">
        <v>2</v>
      </c>
      <c r="B7" s="27" t="s">
        <v>96</v>
      </c>
      <c r="C7" s="28">
        <v>36</v>
      </c>
      <c r="D7" s="27" t="s">
        <v>37</v>
      </c>
      <c r="E7" s="61">
        <v>45140</v>
      </c>
      <c r="F7" s="29">
        <v>45171</v>
      </c>
      <c r="G7" s="27" t="s">
        <v>94</v>
      </c>
      <c r="H7" s="27" t="s">
        <v>45</v>
      </c>
      <c r="I7" s="28" t="s">
        <v>53</v>
      </c>
      <c r="J7" s="27" t="s">
        <v>696</v>
      </c>
      <c r="K7" s="28" t="s">
        <v>98</v>
      </c>
      <c r="L7" s="28"/>
      <c r="M7" s="28">
        <v>1</v>
      </c>
      <c r="N7" s="30">
        <v>1500</v>
      </c>
      <c r="O7" s="27"/>
      <c r="P7" s="27" t="s">
        <v>50</v>
      </c>
      <c r="Q7" s="27" t="str">
        <f>_xlfn.CONCAT(Table14[[#This Row],[Clase]]," ",Table14[[#This Row],[Tipo]])</f>
        <v>Guitarra G</v>
      </c>
      <c r="R7" s="30">
        <v>0</v>
      </c>
      <c r="S7" s="30">
        <v>1500</v>
      </c>
      <c r="T7" s="30">
        <v>1500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4">
        <f>SUM(Table14[[#This Row],[Julio]:[Diciembre2]])</f>
        <v>3000</v>
      </c>
      <c r="AW7" s="23"/>
    </row>
    <row r="8" spans="1:49" s="27" customFormat="1" x14ac:dyDescent="0.4">
      <c r="A8" s="53">
        <v>94</v>
      </c>
      <c r="B8" t="s">
        <v>604</v>
      </c>
      <c r="C8" s="1">
        <v>36</v>
      </c>
      <c r="D8" t="s">
        <v>37</v>
      </c>
      <c r="E8" s="60">
        <v>45859</v>
      </c>
      <c r="F8" s="20">
        <v>45890</v>
      </c>
      <c r="G8" t="s">
        <v>94</v>
      </c>
      <c r="H8" t="s">
        <v>45</v>
      </c>
      <c r="I8" s="1" t="s">
        <v>53</v>
      </c>
      <c r="J8" t="s">
        <v>690</v>
      </c>
      <c r="K8" s="1" t="s">
        <v>95</v>
      </c>
      <c r="L8" s="1" t="s">
        <v>8</v>
      </c>
      <c r="M8" s="1">
        <v>1</v>
      </c>
      <c r="N8" s="23"/>
      <c r="O8" t="s">
        <v>118</v>
      </c>
      <c r="P8" t="s">
        <v>44</v>
      </c>
      <c r="Q8" t="str">
        <f>_xlfn.CONCAT(Table14[[#This Row],[Clase]]," ",Table14[[#This Row],[Tipo]])</f>
        <v>Guitarra G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49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1350</v>
      </c>
      <c r="AQ8" s="23">
        <v>1350</v>
      </c>
      <c r="AR8" s="23">
        <v>1350</v>
      </c>
      <c r="AS8" s="23">
        <v>1350</v>
      </c>
      <c r="AT8" s="23">
        <v>1350</v>
      </c>
      <c r="AU8" s="23"/>
      <c r="AV8" s="38">
        <f>SUM(Table14[[#This Row],[Julio]:[Diciembre2]])</f>
        <v>6750</v>
      </c>
      <c r="AW8" s="23"/>
    </row>
    <row r="9" spans="1:49" x14ac:dyDescent="0.4">
      <c r="A9" s="64">
        <v>33</v>
      </c>
      <c r="B9" s="27" t="s">
        <v>141</v>
      </c>
      <c r="C9" s="28">
        <v>35</v>
      </c>
      <c r="D9" s="27" t="s">
        <v>39</v>
      </c>
      <c r="E9" s="61">
        <v>45532</v>
      </c>
      <c r="F9" s="29">
        <v>45563</v>
      </c>
      <c r="G9" s="27" t="s">
        <v>94</v>
      </c>
      <c r="H9" s="27" t="s">
        <v>47</v>
      </c>
      <c r="I9" s="28" t="s">
        <v>53</v>
      </c>
      <c r="J9" s="27" t="s">
        <v>717</v>
      </c>
      <c r="K9" s="28" t="s">
        <v>95</v>
      </c>
      <c r="L9" s="27" t="s">
        <v>141</v>
      </c>
      <c r="M9" s="28">
        <v>1</v>
      </c>
      <c r="N9" s="23">
        <v>1350</v>
      </c>
      <c r="O9" s="27" t="s">
        <v>106</v>
      </c>
      <c r="P9" s="27" t="s">
        <v>50</v>
      </c>
      <c r="Q9" s="27" t="str">
        <f>_xlfn.CONCAT(Table14[[#This Row],[Clase]]," ",Table14[[#This Row],[Tipo]])</f>
        <v>Teclado G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1350</v>
      </c>
      <c r="AF9" s="30">
        <v>1350</v>
      </c>
      <c r="AG9" s="30">
        <v>1350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4">
        <f>SUM(Table14[[#This Row],[Julio]:[Diciembre2]])</f>
        <v>4050</v>
      </c>
      <c r="AW9" s="23"/>
    </row>
    <row r="10" spans="1:49" x14ac:dyDescent="0.4">
      <c r="A10" s="53">
        <v>38</v>
      </c>
      <c r="B10" t="s">
        <v>143</v>
      </c>
      <c r="C10" s="1">
        <v>39</v>
      </c>
      <c r="D10" t="s">
        <v>41</v>
      </c>
      <c r="E10" s="60">
        <v>45548</v>
      </c>
      <c r="F10" s="20">
        <v>45545</v>
      </c>
      <c r="G10" t="s">
        <v>94</v>
      </c>
      <c r="H10" t="s">
        <v>49</v>
      </c>
      <c r="I10" s="1" t="s">
        <v>53</v>
      </c>
      <c r="J10" t="s">
        <v>696</v>
      </c>
      <c r="K10" s="1" t="s">
        <v>95</v>
      </c>
      <c r="L10" s="1" t="s">
        <v>143</v>
      </c>
      <c r="M10" s="1">
        <v>1</v>
      </c>
      <c r="N10" s="23">
        <v>1350</v>
      </c>
      <c r="O10" t="s">
        <v>106</v>
      </c>
      <c r="P10" t="s">
        <v>44</v>
      </c>
      <c r="Q10" t="str">
        <f>_xlfn.CONCAT(Table14[[#This Row],[Clase]]," ",Table14[[#This Row],[Tipo]])</f>
        <v>Bajo G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1350</v>
      </c>
      <c r="AG10" s="23">
        <v>1350</v>
      </c>
      <c r="AH10" s="23">
        <v>1350</v>
      </c>
      <c r="AI10" s="23">
        <v>1350</v>
      </c>
      <c r="AJ10" s="23">
        <v>1350</v>
      </c>
      <c r="AK10" s="41">
        <v>1350</v>
      </c>
      <c r="AL10" s="41">
        <v>1350</v>
      </c>
      <c r="AM10" s="41">
        <v>1350</v>
      </c>
      <c r="AN10" s="41">
        <v>1350</v>
      </c>
      <c r="AO10" s="41">
        <v>1350</v>
      </c>
      <c r="AP10" s="41">
        <v>1350</v>
      </c>
      <c r="AQ10" s="41">
        <v>1350</v>
      </c>
      <c r="AR10" s="23">
        <v>1350</v>
      </c>
      <c r="AS10" s="23">
        <v>1350</v>
      </c>
      <c r="AT10" s="23">
        <v>1350</v>
      </c>
      <c r="AU10" s="23"/>
      <c r="AV10" s="4">
        <f>SUM(Table14[[#This Row],[Julio]:[Diciembre2]])</f>
        <v>20250</v>
      </c>
      <c r="AW10" s="23"/>
    </row>
    <row r="11" spans="1:49" x14ac:dyDescent="0.4">
      <c r="A11" s="64">
        <v>17</v>
      </c>
      <c r="B11" s="27" t="s">
        <v>119</v>
      </c>
      <c r="C11" s="28">
        <v>15</v>
      </c>
      <c r="D11" s="27" t="s">
        <v>37</v>
      </c>
      <c r="E11" s="61">
        <v>45366</v>
      </c>
      <c r="F11" s="29">
        <v>45397</v>
      </c>
      <c r="G11" s="27" t="s">
        <v>94</v>
      </c>
      <c r="H11" s="27" t="s">
        <v>45</v>
      </c>
      <c r="I11" s="28" t="s">
        <v>53</v>
      </c>
      <c r="J11" s="27" t="s">
        <v>705</v>
      </c>
      <c r="K11" s="28" t="s">
        <v>95</v>
      </c>
      <c r="L11" s="28" t="s">
        <v>120</v>
      </c>
      <c r="M11" s="28">
        <v>1</v>
      </c>
      <c r="N11" s="23">
        <v>1350</v>
      </c>
      <c r="O11" s="27" t="s">
        <v>106</v>
      </c>
      <c r="P11" s="27" t="s">
        <v>50</v>
      </c>
      <c r="Q11" s="27" t="str">
        <f>_xlfn.CONCAT(Table14[[#This Row],[Clase]]," ",Table14[[#This Row],[Tipo]])</f>
        <v>Guitarra G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1350</v>
      </c>
      <c r="AA11" s="30">
        <v>1350</v>
      </c>
      <c r="AB11" s="30">
        <v>1350</v>
      </c>
      <c r="AC11" s="30">
        <v>1350</v>
      </c>
      <c r="AD11" s="30">
        <v>1350</v>
      </c>
      <c r="AE11" s="30">
        <v>1350</v>
      </c>
      <c r="AF11" s="30">
        <v>1350</v>
      </c>
      <c r="AG11" s="30">
        <v>1350</v>
      </c>
      <c r="AH11" s="30">
        <v>1350</v>
      </c>
      <c r="AI11" s="30">
        <v>1350</v>
      </c>
      <c r="AJ11" s="30">
        <v>1350</v>
      </c>
      <c r="AK11" s="30">
        <v>1350</v>
      </c>
      <c r="AL11" s="30">
        <v>1350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4">
        <f>SUM(Table14[[#This Row],[Julio]:[Diciembre2]])</f>
        <v>17550</v>
      </c>
      <c r="AW11" s="23"/>
    </row>
    <row r="12" spans="1:49" x14ac:dyDescent="0.4">
      <c r="A12" s="53">
        <v>71</v>
      </c>
      <c r="B12" s="31" t="s">
        <v>575</v>
      </c>
      <c r="C12" s="45">
        <v>13</v>
      </c>
      <c r="D12" s="31" t="s">
        <v>40</v>
      </c>
      <c r="E12" s="58">
        <v>45792</v>
      </c>
      <c r="F12" s="46">
        <v>45823</v>
      </c>
      <c r="G12" s="31" t="s">
        <v>94</v>
      </c>
      <c r="H12" s="31" t="s">
        <v>45</v>
      </c>
      <c r="I12" s="45" t="s">
        <v>53</v>
      </c>
      <c r="J12" s="31" t="s">
        <v>689</v>
      </c>
      <c r="K12" s="45" t="s">
        <v>98</v>
      </c>
      <c r="L12" s="45"/>
      <c r="M12" s="45">
        <v>1</v>
      </c>
      <c r="N12" s="41"/>
      <c r="O12" s="31" t="s">
        <v>118</v>
      </c>
      <c r="P12" s="31" t="s">
        <v>44</v>
      </c>
      <c r="Q12" s="31" t="str">
        <f>_xlfn.CONCAT(Table14[[#This Row],[Clase]]," ",Table14[[#This Row],[Tipo]])</f>
        <v>Guitarra G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1350</v>
      </c>
      <c r="AP12" s="41">
        <v>1350</v>
      </c>
      <c r="AQ12" s="41">
        <v>1350</v>
      </c>
      <c r="AR12" s="41">
        <v>1350</v>
      </c>
      <c r="AS12" s="23">
        <v>1350</v>
      </c>
      <c r="AT12" s="23">
        <v>1350</v>
      </c>
      <c r="AU12" s="41">
        <v>1350</v>
      </c>
      <c r="AV12" s="51">
        <f>SUM(Table14[[#This Row],[Julio]:[Diciembre2]])</f>
        <v>9450</v>
      </c>
      <c r="AW12" s="41" t="s">
        <v>725</v>
      </c>
    </row>
    <row r="13" spans="1:49" x14ac:dyDescent="0.4">
      <c r="A13" s="53">
        <v>56</v>
      </c>
      <c r="B13" s="31" t="s">
        <v>468</v>
      </c>
      <c r="C13" s="45">
        <v>9</v>
      </c>
      <c r="D13" s="31" t="s">
        <v>43</v>
      </c>
      <c r="E13" s="58">
        <v>45646</v>
      </c>
      <c r="F13" s="46">
        <v>45677</v>
      </c>
      <c r="G13" s="31" t="s">
        <v>94</v>
      </c>
      <c r="H13" s="31" t="s">
        <v>46</v>
      </c>
      <c r="I13" s="45" t="s">
        <v>53</v>
      </c>
      <c r="J13" s="31" t="s">
        <v>689</v>
      </c>
      <c r="K13" s="45" t="s">
        <v>95</v>
      </c>
      <c r="L13" s="45" t="s">
        <v>469</v>
      </c>
      <c r="M13" s="45">
        <v>1</v>
      </c>
      <c r="N13" s="23"/>
      <c r="O13" s="31" t="s">
        <v>118</v>
      </c>
      <c r="P13" s="31" t="s">
        <v>44</v>
      </c>
      <c r="Q13" s="31" t="str">
        <f>_xlfn.CONCAT(Table14[[#This Row],[Clase]]," ",Table14[[#This Row],[Tipo]])</f>
        <v>Batería G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1350</v>
      </c>
      <c r="AJ13" s="41">
        <v>1350</v>
      </c>
      <c r="AK13" s="41">
        <v>1350</v>
      </c>
      <c r="AL13" s="41">
        <v>1350</v>
      </c>
      <c r="AM13" s="41">
        <v>1350</v>
      </c>
      <c r="AN13" s="41">
        <v>1350</v>
      </c>
      <c r="AO13" s="41">
        <v>1350</v>
      </c>
      <c r="AP13" s="41">
        <v>1350</v>
      </c>
      <c r="AQ13" s="41">
        <v>1350</v>
      </c>
      <c r="AR13" s="41">
        <v>1350</v>
      </c>
      <c r="AS13" s="41">
        <v>1350</v>
      </c>
      <c r="AT13" s="41">
        <v>1350</v>
      </c>
      <c r="AU13" s="41">
        <v>0</v>
      </c>
      <c r="AV13" s="38">
        <f>SUM(Table14[[#This Row],[Julio]:[Diciembre2]])</f>
        <v>16200</v>
      </c>
      <c r="AW13" s="23"/>
    </row>
    <row r="14" spans="1:49" s="27" customFormat="1" x14ac:dyDescent="0.4">
      <c r="A14" s="53">
        <v>42</v>
      </c>
      <c r="B14" t="s">
        <v>146</v>
      </c>
      <c r="C14" s="1">
        <v>7</v>
      </c>
      <c r="D14" t="s">
        <v>43</v>
      </c>
      <c r="E14" s="60">
        <v>45567</v>
      </c>
      <c r="F14" s="20">
        <v>45598</v>
      </c>
      <c r="G14" t="s">
        <v>94</v>
      </c>
      <c r="H14" t="s">
        <v>46</v>
      </c>
      <c r="I14" s="1" t="s">
        <v>53</v>
      </c>
      <c r="J14" t="s">
        <v>656</v>
      </c>
      <c r="K14" s="1" t="s">
        <v>95</v>
      </c>
      <c r="L14" t="s">
        <v>147</v>
      </c>
      <c r="M14" s="1">
        <v>1</v>
      </c>
      <c r="N14" s="23">
        <v>1275</v>
      </c>
      <c r="O14" t="s">
        <v>106</v>
      </c>
      <c r="P14" t="s">
        <v>44</v>
      </c>
      <c r="Q14" t="str">
        <f>_xlfn.CONCAT(Table14[[#This Row],[Clase]]," ",Table14[[#This Row],[Tipo]])</f>
        <v>Batería G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f>2550/2</f>
        <v>1275</v>
      </c>
      <c r="AH14" s="23">
        <f>2550/2</f>
        <v>1275</v>
      </c>
      <c r="AI14" s="23">
        <f>2550/2</f>
        <v>1275</v>
      </c>
      <c r="AJ14" s="23">
        <f>2550/2</f>
        <v>1275</v>
      </c>
      <c r="AK14" s="41">
        <v>1275</v>
      </c>
      <c r="AL14" s="41">
        <v>1275</v>
      </c>
      <c r="AM14" s="41">
        <v>1275</v>
      </c>
      <c r="AN14" s="41">
        <v>1275</v>
      </c>
      <c r="AO14" s="41">
        <v>1275</v>
      </c>
      <c r="AP14" s="41">
        <v>1275</v>
      </c>
      <c r="AQ14" s="41">
        <v>0</v>
      </c>
      <c r="AR14" s="23">
        <v>1275</v>
      </c>
      <c r="AS14" s="23">
        <v>1275</v>
      </c>
      <c r="AT14" s="23">
        <v>1275</v>
      </c>
      <c r="AU14" s="23"/>
      <c r="AV14" s="4">
        <f>SUM(Table14[[#This Row],[Julio]:[Diciembre2]])</f>
        <v>16575</v>
      </c>
      <c r="AW14" s="23"/>
    </row>
    <row r="15" spans="1:49" x14ac:dyDescent="0.4">
      <c r="A15" s="53">
        <v>100</v>
      </c>
      <c r="B15" t="s">
        <v>645</v>
      </c>
      <c r="C15" s="1">
        <v>17</v>
      </c>
      <c r="D15" t="s">
        <v>39</v>
      </c>
      <c r="E15" s="60">
        <v>45873</v>
      </c>
      <c r="F15" s="20">
        <v>45904</v>
      </c>
      <c r="G15" t="s">
        <v>94</v>
      </c>
      <c r="H15" t="s">
        <v>47</v>
      </c>
      <c r="I15" s="1" t="s">
        <v>53</v>
      </c>
      <c r="J15" t="s">
        <v>693</v>
      </c>
      <c r="K15" s="1" t="s">
        <v>95</v>
      </c>
      <c r="M15" s="1">
        <v>2</v>
      </c>
      <c r="N15" s="23"/>
      <c r="O15" t="s">
        <v>118</v>
      </c>
      <c r="P15" t="s">
        <v>44</v>
      </c>
      <c r="Q15" t="str">
        <f>_xlfn.CONCAT(Table14[[#This Row],[Clase]]," ",Table14[[#This Row],[Tipo]])</f>
        <v>Teclado G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49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2550</v>
      </c>
      <c r="AR15" s="23">
        <v>2550</v>
      </c>
      <c r="AS15" s="23">
        <v>2550</v>
      </c>
      <c r="AT15" s="23">
        <v>2550</v>
      </c>
      <c r="AU15" s="23"/>
      <c r="AV15" s="38">
        <f>SUM(Table14[[#This Row],[Julio]:[Diciembre2]])</f>
        <v>10200</v>
      </c>
      <c r="AW15" s="23"/>
    </row>
    <row r="16" spans="1:49" x14ac:dyDescent="0.4">
      <c r="A16" s="53">
        <v>24</v>
      </c>
      <c r="B16" t="s">
        <v>131</v>
      </c>
      <c r="C16" s="1">
        <v>12</v>
      </c>
      <c r="D16" t="s">
        <v>37</v>
      </c>
      <c r="E16" s="60">
        <v>45443</v>
      </c>
      <c r="F16" s="20">
        <v>45473</v>
      </c>
      <c r="G16" t="s">
        <v>94</v>
      </c>
      <c r="H16" t="s">
        <v>45</v>
      </c>
      <c r="I16" s="1" t="s">
        <v>53</v>
      </c>
      <c r="J16" t="s">
        <v>694</v>
      </c>
      <c r="K16" s="1" t="s">
        <v>95</v>
      </c>
      <c r="L16" s="1" t="s">
        <v>132</v>
      </c>
      <c r="M16" s="1">
        <v>1</v>
      </c>
      <c r="N16" s="23">
        <v>1350</v>
      </c>
      <c r="O16" t="s">
        <v>106</v>
      </c>
      <c r="P16" t="s">
        <v>44</v>
      </c>
      <c r="Q16" t="str">
        <f>_xlfn.CONCAT(Table14[[#This Row],[Clase]]," ",Table14[[#This Row],[Tipo]])</f>
        <v>Guitarra G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1350</v>
      </c>
      <c r="AC16" s="23">
        <v>1350</v>
      </c>
      <c r="AD16" s="23">
        <v>1350</v>
      </c>
      <c r="AE16" s="23">
        <v>1350</v>
      </c>
      <c r="AF16" s="23">
        <v>1350</v>
      </c>
      <c r="AG16" s="23">
        <v>1275</v>
      </c>
      <c r="AH16" s="23">
        <v>1275</v>
      </c>
      <c r="AI16" s="23">
        <v>1275</v>
      </c>
      <c r="AJ16" s="23">
        <v>1275</v>
      </c>
      <c r="AK16" s="41">
        <v>1275</v>
      </c>
      <c r="AL16" s="41">
        <v>1275</v>
      </c>
      <c r="AM16" s="41">
        <v>1350</v>
      </c>
      <c r="AN16" s="41">
        <v>1350</v>
      </c>
      <c r="AO16" s="41">
        <v>1350</v>
      </c>
      <c r="AP16" s="41">
        <v>1350</v>
      </c>
      <c r="AQ16" s="41">
        <v>1350</v>
      </c>
      <c r="AR16" s="23">
        <v>1350</v>
      </c>
      <c r="AS16" s="23">
        <v>1350</v>
      </c>
      <c r="AT16" s="23">
        <v>1350</v>
      </c>
      <c r="AU16" s="23"/>
      <c r="AV16" s="4">
        <f>SUM(Table14[[#This Row],[Julio]:[Diciembre2]])</f>
        <v>25200</v>
      </c>
      <c r="AW16" s="23" t="s">
        <v>551</v>
      </c>
    </row>
    <row r="17" spans="1:49" x14ac:dyDescent="0.4">
      <c r="A17" s="64">
        <v>76</v>
      </c>
      <c r="B17" s="27" t="s">
        <v>580</v>
      </c>
      <c r="C17" s="28">
        <v>13</v>
      </c>
      <c r="D17" s="27" t="s">
        <v>43</v>
      </c>
      <c r="E17" s="61">
        <v>45807</v>
      </c>
      <c r="F17" s="29">
        <v>45838</v>
      </c>
      <c r="G17" s="27" t="s">
        <v>94</v>
      </c>
      <c r="H17" s="27" t="s">
        <v>46</v>
      </c>
      <c r="I17" s="28" t="s">
        <v>53</v>
      </c>
      <c r="J17" s="27" t="s">
        <v>695</v>
      </c>
      <c r="K17" s="28" t="s">
        <v>95</v>
      </c>
      <c r="L17" s="28"/>
      <c r="M17" s="28">
        <v>1</v>
      </c>
      <c r="N17" s="23"/>
      <c r="O17" s="27" t="s">
        <v>118</v>
      </c>
      <c r="P17" s="27" t="s">
        <v>50</v>
      </c>
      <c r="Q17" s="27" t="str">
        <f>_xlfn.CONCAT(Table14[[#This Row],[Clase]]," ",Table14[[#This Row],[Tipo]])</f>
        <v>Batería G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1275</v>
      </c>
      <c r="AP17" s="30">
        <v>1275</v>
      </c>
      <c r="AQ17" s="30">
        <v>0</v>
      </c>
      <c r="AR17" s="30">
        <v>1275</v>
      </c>
      <c r="AS17" s="30">
        <v>1275</v>
      </c>
      <c r="AT17" s="30">
        <v>0</v>
      </c>
      <c r="AU17" s="30"/>
      <c r="AV17" s="63">
        <f>SUM(Table14[[#This Row],[Julio]:[Diciembre2]])</f>
        <v>5100</v>
      </c>
      <c r="AW17" s="30"/>
    </row>
    <row r="18" spans="1:49" x14ac:dyDescent="0.4">
      <c r="A18" s="64">
        <v>95</v>
      </c>
      <c r="B18" s="27" t="s">
        <v>605</v>
      </c>
      <c r="C18" s="28"/>
      <c r="D18" s="27" t="s">
        <v>42</v>
      </c>
      <c r="E18" s="61">
        <v>45861</v>
      </c>
      <c r="F18" s="29">
        <v>45861</v>
      </c>
      <c r="G18" s="27" t="s">
        <v>94</v>
      </c>
      <c r="H18" s="27" t="s">
        <v>48</v>
      </c>
      <c r="I18" s="28" t="s">
        <v>53</v>
      </c>
      <c r="J18" s="27" t="s">
        <v>696</v>
      </c>
      <c r="K18" s="28" t="s">
        <v>98</v>
      </c>
      <c r="L18" s="28"/>
      <c r="M18" s="28">
        <v>1</v>
      </c>
      <c r="N18" s="23"/>
      <c r="O18" s="27" t="s">
        <v>118</v>
      </c>
      <c r="P18" s="27" t="s">
        <v>50</v>
      </c>
      <c r="Q18" s="27" t="str">
        <f>_xlfn.CONCAT(Table14[[#This Row],[Clase]]," ",Table14[[#This Row],[Tipo]])</f>
        <v>Canto G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54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1350</v>
      </c>
      <c r="AQ18" s="30">
        <v>0</v>
      </c>
      <c r="AR18" s="30">
        <v>0</v>
      </c>
      <c r="AS18" s="30">
        <v>0</v>
      </c>
      <c r="AT18" s="30">
        <v>0</v>
      </c>
      <c r="AU18" s="30">
        <v>0</v>
      </c>
      <c r="AV18" s="38">
        <f>SUM(Table14[[#This Row],[Julio]:[Diciembre2]])</f>
        <v>1350</v>
      </c>
      <c r="AW18" s="23" t="s">
        <v>653</v>
      </c>
    </row>
    <row r="19" spans="1:49" x14ac:dyDescent="0.4">
      <c r="A19" s="64">
        <v>11</v>
      </c>
      <c r="B19" s="27" t="s">
        <v>110</v>
      </c>
      <c r="C19" s="28">
        <v>26</v>
      </c>
      <c r="D19" s="27" t="s">
        <v>41</v>
      </c>
      <c r="E19" s="61">
        <v>45199</v>
      </c>
      <c r="F19" s="29">
        <v>45229</v>
      </c>
      <c r="G19" s="27" t="s">
        <v>94</v>
      </c>
      <c r="H19" s="27" t="s">
        <v>49</v>
      </c>
      <c r="I19" s="28" t="s">
        <v>53</v>
      </c>
      <c r="J19" s="27" t="s">
        <v>695</v>
      </c>
      <c r="K19" s="28" t="s">
        <v>8</v>
      </c>
      <c r="L19" s="28"/>
      <c r="M19" s="28">
        <v>1</v>
      </c>
      <c r="N19" s="30">
        <v>1500</v>
      </c>
      <c r="O19" s="27"/>
      <c r="P19" s="27" t="s">
        <v>50</v>
      </c>
      <c r="Q19" s="27" t="str">
        <f>_xlfn.CONCAT(Table14[[#This Row],[Clase]]," ",Table14[[#This Row],[Tipo]])</f>
        <v>Bajo G</v>
      </c>
      <c r="R19" s="30">
        <v>0</v>
      </c>
      <c r="S19" s="30">
        <v>0</v>
      </c>
      <c r="T19" s="30">
        <v>1500</v>
      </c>
      <c r="U19" s="30">
        <v>1500</v>
      </c>
      <c r="V19" s="30">
        <v>1500</v>
      </c>
      <c r="W19" s="30">
        <v>1500</v>
      </c>
      <c r="X19" s="30">
        <v>1500</v>
      </c>
      <c r="Y19" s="30">
        <v>1500</v>
      </c>
      <c r="Z19" s="30">
        <v>1500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0</v>
      </c>
      <c r="AV19" s="4">
        <f>SUM(Table14[[#This Row],[Julio]:[Diciembre2]])</f>
        <v>10500</v>
      </c>
      <c r="AW19" s="23"/>
    </row>
    <row r="20" spans="1:49" s="31" customFormat="1" x14ac:dyDescent="0.4">
      <c r="A20" s="53">
        <v>61</v>
      </c>
      <c r="B20" s="31" t="s">
        <v>606</v>
      </c>
      <c r="C20" s="45">
        <v>30</v>
      </c>
      <c r="D20" s="31" t="s">
        <v>42</v>
      </c>
      <c r="E20" s="58">
        <v>45686</v>
      </c>
      <c r="F20" s="46">
        <v>45715</v>
      </c>
      <c r="G20" s="31" t="s">
        <v>94</v>
      </c>
      <c r="H20" s="31" t="s">
        <v>48</v>
      </c>
      <c r="I20" s="45" t="s">
        <v>53</v>
      </c>
      <c r="J20" s="31" t="s">
        <v>695</v>
      </c>
      <c r="K20" s="45" t="s">
        <v>95</v>
      </c>
      <c r="L20" s="45"/>
      <c r="M20" s="45">
        <v>1</v>
      </c>
      <c r="N20" s="23"/>
      <c r="O20" s="31" t="s">
        <v>118</v>
      </c>
      <c r="P20" s="31" t="s">
        <v>44</v>
      </c>
      <c r="Q20" s="31" t="str">
        <f>_xlfn.CONCAT(Table14[[#This Row],[Clase]]," ",Table14[[#This Row],[Tipo]])</f>
        <v>Canto G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>
        <v>2550</v>
      </c>
      <c r="AK20" s="41">
        <v>2550</v>
      </c>
      <c r="AL20" s="41">
        <v>2550</v>
      </c>
      <c r="AM20" s="41">
        <v>2550</v>
      </c>
      <c r="AN20" s="41">
        <v>2550</v>
      </c>
      <c r="AO20" s="41">
        <v>2550</v>
      </c>
      <c r="AP20" s="41">
        <v>2550</v>
      </c>
      <c r="AQ20" s="41">
        <v>0</v>
      </c>
      <c r="AR20" s="41">
        <v>0</v>
      </c>
      <c r="AS20" s="41">
        <v>1275</v>
      </c>
      <c r="AT20" s="41">
        <v>1275</v>
      </c>
      <c r="AU20" s="41">
        <v>0</v>
      </c>
      <c r="AV20" s="51">
        <f>SUM(Table14[[#This Row],[Julio]:[Diciembre2]])</f>
        <v>20400</v>
      </c>
      <c r="AW20" s="41" t="s">
        <v>644</v>
      </c>
    </row>
    <row r="21" spans="1:49" x14ac:dyDescent="0.4">
      <c r="A21" s="53">
        <v>62</v>
      </c>
      <c r="B21" s="31" t="s">
        <v>606</v>
      </c>
      <c r="C21" s="45"/>
      <c r="D21" s="31" t="s">
        <v>649</v>
      </c>
      <c r="E21" s="58">
        <v>45686</v>
      </c>
      <c r="F21" s="46">
        <v>45715</v>
      </c>
      <c r="G21" s="31" t="s">
        <v>94</v>
      </c>
      <c r="H21" s="31" t="s">
        <v>47</v>
      </c>
      <c r="I21" s="45" t="s">
        <v>53</v>
      </c>
      <c r="J21" s="31" t="s">
        <v>695</v>
      </c>
      <c r="K21" s="45" t="s">
        <v>95</v>
      </c>
      <c r="L21" s="45"/>
      <c r="M21" s="45">
        <v>1</v>
      </c>
      <c r="N21" s="23"/>
      <c r="O21" s="31" t="s">
        <v>118</v>
      </c>
      <c r="P21" s="31" t="s">
        <v>44</v>
      </c>
      <c r="Q21" s="31" t="str">
        <f>_xlfn.CONCAT(Table14[[#This Row],[Clase]]," ",Table14[[#This Row],[Tipo]])</f>
        <v>Teclado G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62">
        <v>0</v>
      </c>
      <c r="AH21" s="41">
        <v>0</v>
      </c>
      <c r="AI21" s="41">
        <v>0</v>
      </c>
      <c r="AJ21" s="41">
        <v>0</v>
      </c>
      <c r="AK21" s="41">
        <v>0</v>
      </c>
      <c r="AL21" s="41">
        <v>0</v>
      </c>
      <c r="AM21" s="41">
        <v>0</v>
      </c>
      <c r="AN21" s="41">
        <v>0</v>
      </c>
      <c r="AO21" s="41">
        <v>0</v>
      </c>
      <c r="AP21" s="41">
        <v>0</v>
      </c>
      <c r="AQ21" s="41">
        <v>0</v>
      </c>
      <c r="AR21" s="41">
        <v>0</v>
      </c>
      <c r="AS21" s="41">
        <v>1275</v>
      </c>
      <c r="AT21" s="41">
        <v>1275</v>
      </c>
      <c r="AU21" s="41"/>
      <c r="AV21" s="51">
        <f>SUM(Table14[[#This Row],[Julio]:[Diciembre2]])</f>
        <v>2550</v>
      </c>
      <c r="AW21" s="41"/>
    </row>
    <row r="22" spans="1:49" x14ac:dyDescent="0.4">
      <c r="A22" s="64">
        <v>53</v>
      </c>
      <c r="B22" s="27" t="s">
        <v>163</v>
      </c>
      <c r="C22" s="28">
        <v>21</v>
      </c>
      <c r="D22" s="27" t="s">
        <v>41</v>
      </c>
      <c r="E22" s="61">
        <v>45628</v>
      </c>
      <c r="F22" s="29">
        <v>45293</v>
      </c>
      <c r="G22" s="27" t="s">
        <v>94</v>
      </c>
      <c r="H22" s="27" t="s">
        <v>49</v>
      </c>
      <c r="I22" s="28" t="s">
        <v>53</v>
      </c>
      <c r="J22" s="27" t="s">
        <v>690</v>
      </c>
      <c r="K22" s="28" t="s">
        <v>95</v>
      </c>
      <c r="L22" s="28" t="s">
        <v>163</v>
      </c>
      <c r="M22" s="28">
        <v>1</v>
      </c>
      <c r="N22" s="23"/>
      <c r="O22" s="27" t="s">
        <v>118</v>
      </c>
      <c r="P22" s="27" t="s">
        <v>50</v>
      </c>
      <c r="Q22" s="27" t="str">
        <f>_xlfn.CONCAT(Table14[[#This Row],[Clase]]," ",Table14[[#This Row],[Tipo]])</f>
        <v>Bajo G</v>
      </c>
      <c r="R22" s="30">
        <v>0</v>
      </c>
      <c r="S22" s="30">
        <v>0</v>
      </c>
      <c r="T22" s="30">
        <v>0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1350</v>
      </c>
      <c r="AJ22" s="30">
        <v>1350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8">
        <f>SUM(Table14[[#This Row],[Julio]:[Diciembre2]])</f>
        <v>2700</v>
      </c>
      <c r="AW22" s="23"/>
    </row>
    <row r="23" spans="1:49" s="31" customFormat="1" x14ac:dyDescent="0.4">
      <c r="A23" s="64">
        <v>69</v>
      </c>
      <c r="B23" s="27" t="s">
        <v>525</v>
      </c>
      <c r="C23" s="28">
        <v>19</v>
      </c>
      <c r="D23" s="27" t="s">
        <v>40</v>
      </c>
      <c r="E23" s="61">
        <v>45768</v>
      </c>
      <c r="F23" s="29">
        <v>45768</v>
      </c>
      <c r="G23" s="27" t="s">
        <v>94</v>
      </c>
      <c r="H23" s="27" t="s">
        <v>45</v>
      </c>
      <c r="I23" s="28" t="s">
        <v>53</v>
      </c>
      <c r="J23" s="27" t="s">
        <v>526</v>
      </c>
      <c r="K23" s="28" t="s">
        <v>95</v>
      </c>
      <c r="L23" s="28" t="s">
        <v>527</v>
      </c>
      <c r="M23" s="28">
        <v>1</v>
      </c>
      <c r="N23" s="23"/>
      <c r="O23" s="27" t="s">
        <v>118</v>
      </c>
      <c r="P23" s="27" t="s">
        <v>50</v>
      </c>
      <c r="Q23" s="27" t="str">
        <f>_xlfn.CONCAT(Table14[[#This Row],[Clase]]," ",Table14[[#This Row],[Tipo]])</f>
        <v>Guitarra G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1350</v>
      </c>
      <c r="AN23" s="30">
        <v>1350</v>
      </c>
      <c r="AO23" s="30">
        <v>1350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0</v>
      </c>
      <c r="AV23" s="38">
        <f>SUM(Table14[[#This Row],[Julio]:[Diciembre2]])</f>
        <v>4050</v>
      </c>
      <c r="AW23" s="23" t="s">
        <v>616</v>
      </c>
    </row>
    <row r="24" spans="1:49" x14ac:dyDescent="0.4">
      <c r="A24" s="53">
        <v>83</v>
      </c>
      <c r="B24" t="s">
        <v>563</v>
      </c>
      <c r="C24" s="1">
        <v>30</v>
      </c>
      <c r="D24" t="s">
        <v>42</v>
      </c>
      <c r="E24" s="60">
        <v>45829</v>
      </c>
      <c r="F24" s="20">
        <v>45859</v>
      </c>
      <c r="G24" t="s">
        <v>94</v>
      </c>
      <c r="H24" t="s">
        <v>48</v>
      </c>
      <c r="I24" s="1" t="s">
        <v>53</v>
      </c>
      <c r="J24" t="s">
        <v>692</v>
      </c>
      <c r="K24" s="1" t="s">
        <v>95</v>
      </c>
      <c r="M24" s="1">
        <v>1</v>
      </c>
      <c r="N24" s="23"/>
      <c r="O24" t="s">
        <v>118</v>
      </c>
      <c r="P24" t="s">
        <v>44</v>
      </c>
      <c r="Q24" t="str">
        <f>_xlfn.CONCAT(Table14[[#This Row],[Clase]]," ",Table14[[#This Row],[Tipo]])</f>
        <v>Canto G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>
        <v>1350</v>
      </c>
      <c r="AP24" s="23">
        <v>1350</v>
      </c>
      <c r="AQ24" s="23">
        <v>1350</v>
      </c>
      <c r="AR24" s="23">
        <v>1350</v>
      </c>
      <c r="AS24" s="23">
        <v>1350</v>
      </c>
      <c r="AT24" s="23">
        <v>1350</v>
      </c>
      <c r="AU24" s="23"/>
      <c r="AV24" s="38">
        <f>SUM(Table14[[#This Row],[Julio]:[Diciembre2]])</f>
        <v>8100</v>
      </c>
      <c r="AW24" s="23" t="s">
        <v>608</v>
      </c>
    </row>
    <row r="25" spans="1:49" x14ac:dyDescent="0.4">
      <c r="A25" s="64">
        <v>57</v>
      </c>
      <c r="B25" s="27" t="s">
        <v>470</v>
      </c>
      <c r="C25" s="28">
        <v>24</v>
      </c>
      <c r="D25" s="27" t="s">
        <v>39</v>
      </c>
      <c r="E25" s="61">
        <v>45664</v>
      </c>
      <c r="F25" s="29">
        <v>45695</v>
      </c>
      <c r="G25" s="27" t="s">
        <v>94</v>
      </c>
      <c r="H25" s="27" t="s">
        <v>47</v>
      </c>
      <c r="I25" s="28" t="s">
        <v>53</v>
      </c>
      <c r="J25" s="27" t="s">
        <v>107</v>
      </c>
      <c r="K25" s="28" t="s">
        <v>95</v>
      </c>
      <c r="L25" s="28" t="s">
        <v>509</v>
      </c>
      <c r="M25" s="28"/>
      <c r="N25" s="23"/>
      <c r="O25" s="27" t="s">
        <v>118</v>
      </c>
      <c r="P25" s="27" t="s">
        <v>50</v>
      </c>
      <c r="Q25" s="27" t="str">
        <f>_xlfn.CONCAT(Table14[[#This Row],[Clase]]," ",Table14[[#This Row],[Tipo]])</f>
        <v>Teclado G</v>
      </c>
      <c r="R25" s="30">
        <v>0</v>
      </c>
      <c r="S25" s="30">
        <v>0</v>
      </c>
      <c r="T25" s="30">
        <v>0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30">
        <v>0</v>
      </c>
      <c r="AC25" s="30">
        <v>0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1350</v>
      </c>
      <c r="AK25" s="30">
        <v>1350</v>
      </c>
      <c r="AL25" s="30">
        <v>1350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0">
        <v>0</v>
      </c>
      <c r="AV25" s="38">
        <f>SUM(Table14[[#This Row],[Julio]:[Diciembre2]])</f>
        <v>4050</v>
      </c>
      <c r="AW25" s="23"/>
    </row>
    <row r="26" spans="1:49" x14ac:dyDescent="0.4">
      <c r="A26" s="64">
        <v>20</v>
      </c>
      <c r="B26" s="27" t="s">
        <v>122</v>
      </c>
      <c r="C26" s="28">
        <v>10</v>
      </c>
      <c r="D26" s="27" t="s">
        <v>37</v>
      </c>
      <c r="E26" s="61">
        <v>45420</v>
      </c>
      <c r="F26" s="29">
        <v>45451</v>
      </c>
      <c r="G26" s="27" t="s">
        <v>94</v>
      </c>
      <c r="H26" s="27" t="s">
        <v>45</v>
      </c>
      <c r="I26" s="28" t="s">
        <v>53</v>
      </c>
      <c r="J26" s="27" t="s">
        <v>718</v>
      </c>
      <c r="K26" s="28" t="s">
        <v>95</v>
      </c>
      <c r="L26" s="28"/>
      <c r="M26" s="28">
        <v>1</v>
      </c>
      <c r="N26" s="23">
        <v>1200</v>
      </c>
      <c r="O26" s="27"/>
      <c r="P26" s="27" t="s">
        <v>50</v>
      </c>
      <c r="Q26" s="27" t="str">
        <f>_xlfn.CONCAT(Table14[[#This Row],[Clase]]," ",Table14[[#This Row],[Tipo]])</f>
        <v>Guitarra G</v>
      </c>
      <c r="R26" s="30">
        <v>0</v>
      </c>
      <c r="S26" s="30">
        <v>0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30">
        <v>1200</v>
      </c>
      <c r="AC26" s="30">
        <v>0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4">
        <f>SUM(Table14[[#This Row],[Julio]:[Diciembre2]])</f>
        <v>1200</v>
      </c>
      <c r="AW26" s="23"/>
    </row>
    <row r="27" spans="1:49" x14ac:dyDescent="0.4">
      <c r="A27" s="64">
        <v>21</v>
      </c>
      <c r="B27" s="27" t="s">
        <v>122</v>
      </c>
      <c r="C27" s="28">
        <v>10</v>
      </c>
      <c r="D27" s="27" t="s">
        <v>39</v>
      </c>
      <c r="E27" s="61">
        <v>45420</v>
      </c>
      <c r="F27" s="29">
        <v>45451</v>
      </c>
      <c r="G27" s="27" t="s">
        <v>94</v>
      </c>
      <c r="H27" s="27" t="s">
        <v>47</v>
      </c>
      <c r="I27" s="28" t="s">
        <v>53</v>
      </c>
      <c r="J27" s="27" t="s">
        <v>124</v>
      </c>
      <c r="K27" s="28" t="s">
        <v>95</v>
      </c>
      <c r="L27" s="28"/>
      <c r="M27" s="28">
        <v>1</v>
      </c>
      <c r="N27" s="30">
        <v>1200</v>
      </c>
      <c r="O27" s="27"/>
      <c r="P27" s="27" t="s">
        <v>50</v>
      </c>
      <c r="Q27" s="27" t="str">
        <f>_xlfn.CONCAT(Table14[[#This Row],[Clase]]," ",Table14[[#This Row],[Tipo]])</f>
        <v>Teclado G</v>
      </c>
      <c r="R27" s="30">
        <v>0</v>
      </c>
      <c r="S27" s="30">
        <v>0</v>
      </c>
      <c r="T27" s="30">
        <v>0</v>
      </c>
      <c r="U27" s="30">
        <v>0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0</v>
      </c>
      <c r="AB27" s="30">
        <v>1200</v>
      </c>
      <c r="AC27" s="30">
        <v>0</v>
      </c>
      <c r="AD27" s="30">
        <v>0</v>
      </c>
      <c r="AE27" s="30">
        <v>0</v>
      </c>
      <c r="AF27" s="30">
        <v>0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0</v>
      </c>
      <c r="AV27" s="4">
        <f>SUM(Table14[[#This Row],[Julio]:[Diciembre2]])</f>
        <v>1200</v>
      </c>
      <c r="AW27" s="23"/>
    </row>
    <row r="28" spans="1:49" x14ac:dyDescent="0.4">
      <c r="A28" s="53">
        <v>97</v>
      </c>
      <c r="B28" t="s">
        <v>607</v>
      </c>
      <c r="C28" s="1">
        <v>8</v>
      </c>
      <c r="D28" t="s">
        <v>43</v>
      </c>
      <c r="E28" s="60">
        <v>45866</v>
      </c>
      <c r="F28" s="20">
        <v>45897</v>
      </c>
      <c r="G28" t="s">
        <v>94</v>
      </c>
      <c r="H28" t="s">
        <v>46</v>
      </c>
      <c r="I28" s="1" t="s">
        <v>53</v>
      </c>
      <c r="J28" t="s">
        <v>715</v>
      </c>
      <c r="K28" s="1" t="s">
        <v>8</v>
      </c>
      <c r="M28" s="1">
        <v>1</v>
      </c>
      <c r="N28" s="23"/>
      <c r="O28" t="s">
        <v>118</v>
      </c>
      <c r="P28" t="s">
        <v>44</v>
      </c>
      <c r="Q28" t="str">
        <f>_xlfn.CONCAT(Table14[[#This Row],[Clase]]," ",Table14[[#This Row],[Tipo]])</f>
        <v>Batería G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49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1350</v>
      </c>
      <c r="AR28" s="23">
        <v>1350</v>
      </c>
      <c r="AS28" s="23">
        <v>1350</v>
      </c>
      <c r="AT28" s="23">
        <v>1350</v>
      </c>
      <c r="AU28" s="23"/>
      <c r="AV28" s="38">
        <f>SUM(Table14[[#This Row],[Julio]:[Diciembre2]])</f>
        <v>5400</v>
      </c>
      <c r="AW28" s="23"/>
    </row>
    <row r="29" spans="1:49" x14ac:dyDescent="0.4">
      <c r="A29" s="64">
        <v>68</v>
      </c>
      <c r="B29" s="27" t="s">
        <v>581</v>
      </c>
      <c r="C29" s="28">
        <v>49</v>
      </c>
      <c r="D29" s="27" t="s">
        <v>42</v>
      </c>
      <c r="E29" s="61">
        <v>45744</v>
      </c>
      <c r="F29" s="29">
        <v>45775</v>
      </c>
      <c r="G29" s="27" t="s">
        <v>94</v>
      </c>
      <c r="H29" s="27" t="s">
        <v>48</v>
      </c>
      <c r="I29" s="28" t="s">
        <v>53</v>
      </c>
      <c r="J29" s="27" t="s">
        <v>697</v>
      </c>
      <c r="K29" s="28" t="s">
        <v>95</v>
      </c>
      <c r="L29" s="28"/>
      <c r="M29" s="28">
        <v>1</v>
      </c>
      <c r="N29" s="23"/>
      <c r="O29" s="27" t="s">
        <v>118</v>
      </c>
      <c r="P29" s="27" t="s">
        <v>50</v>
      </c>
      <c r="Q29" s="27" t="str">
        <f>_xlfn.CONCAT(Table14[[#This Row],[Clase]]," ",Table14[[#This Row],[Tipo]])</f>
        <v>Canto G</v>
      </c>
      <c r="R29" s="30">
        <v>0</v>
      </c>
      <c r="S29" s="30">
        <v>0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30">
        <v>0</v>
      </c>
      <c r="AC29" s="30">
        <v>0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1350</v>
      </c>
      <c r="AM29" s="30">
        <v>1350</v>
      </c>
      <c r="AN29" s="30">
        <v>1350</v>
      </c>
      <c r="AO29" s="30">
        <v>1350</v>
      </c>
      <c r="AP29" s="30">
        <v>1350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8">
        <f>SUM(Table14[[#This Row],[Julio]:[Diciembre2]])</f>
        <v>6750</v>
      </c>
      <c r="AW29" s="23" t="s">
        <v>644</v>
      </c>
    </row>
    <row r="30" spans="1:49" x14ac:dyDescent="0.4">
      <c r="A30" s="53">
        <v>65</v>
      </c>
      <c r="B30" t="s">
        <v>646</v>
      </c>
      <c r="C30" s="1">
        <v>12</v>
      </c>
      <c r="D30" t="s">
        <v>38</v>
      </c>
      <c r="E30" s="60">
        <v>45735</v>
      </c>
      <c r="F30" s="20">
        <v>45766</v>
      </c>
      <c r="G30" t="s">
        <v>94</v>
      </c>
      <c r="H30" t="s">
        <v>46</v>
      </c>
      <c r="I30" s="1" t="s">
        <v>53</v>
      </c>
      <c r="J30" t="s">
        <v>698</v>
      </c>
      <c r="K30" s="1" t="s">
        <v>8</v>
      </c>
      <c r="M30" s="1">
        <v>2</v>
      </c>
      <c r="N30" s="23"/>
      <c r="O30" t="s">
        <v>118</v>
      </c>
      <c r="P30" t="s">
        <v>44</v>
      </c>
      <c r="Q30" t="str">
        <f>_xlfn.CONCAT(Table14[[#This Row],[Clase]]," ",Table14[[#This Row],[Tipo]])</f>
        <v>Batería G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2550</v>
      </c>
      <c r="AM30" s="23">
        <v>2550</v>
      </c>
      <c r="AN30" s="23">
        <v>2550</v>
      </c>
      <c r="AO30" s="23">
        <v>2550</v>
      </c>
      <c r="AP30" s="23">
        <v>2550</v>
      </c>
      <c r="AQ30" s="23">
        <v>2550</v>
      </c>
      <c r="AR30" s="23">
        <v>2550</v>
      </c>
      <c r="AS30" s="23">
        <v>2550</v>
      </c>
      <c r="AT30" s="23">
        <v>2550</v>
      </c>
      <c r="AU30" s="23"/>
      <c r="AV30" s="38">
        <f>SUM(Table14[[#This Row],[Julio]:[Diciembre2]])</f>
        <v>22950</v>
      </c>
      <c r="AW30" s="23"/>
    </row>
    <row r="31" spans="1:49" x14ac:dyDescent="0.4">
      <c r="A31" s="53">
        <v>102</v>
      </c>
      <c r="B31" t="s">
        <v>658</v>
      </c>
      <c r="C31" s="1">
        <v>17</v>
      </c>
      <c r="D31" t="s">
        <v>40</v>
      </c>
      <c r="E31" s="60">
        <v>45902</v>
      </c>
      <c r="F31" s="20">
        <v>45932</v>
      </c>
      <c r="G31" t="s">
        <v>94</v>
      </c>
      <c r="H31" t="s">
        <v>45</v>
      </c>
      <c r="I31" s="1" t="s">
        <v>53</v>
      </c>
      <c r="J31" t="s">
        <v>699</v>
      </c>
      <c r="M31" s="1">
        <v>2</v>
      </c>
      <c r="N31" s="23"/>
      <c r="O31" t="s">
        <v>118</v>
      </c>
      <c r="P31" t="s">
        <v>44</v>
      </c>
      <c r="Q31" t="str">
        <f>_xlfn.CONCAT(Table14[[#This Row],[Clase]]," ",Table14[[#This Row],[Tipo]])</f>
        <v>Guitarra G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>
        <v>0</v>
      </c>
      <c r="AP31" s="23">
        <v>0</v>
      </c>
      <c r="AQ31" s="23">
        <v>0</v>
      </c>
      <c r="AR31" s="23">
        <v>2300</v>
      </c>
      <c r="AS31" s="23">
        <v>2300</v>
      </c>
      <c r="AT31" s="23">
        <v>2300</v>
      </c>
      <c r="AU31" s="23"/>
      <c r="AV31" s="38">
        <f>SUM(Table14[[#This Row],[Julio]:[Diciembre2]])</f>
        <v>6900</v>
      </c>
      <c r="AW31" s="23"/>
    </row>
    <row r="32" spans="1:49" x14ac:dyDescent="0.4">
      <c r="A32" s="64">
        <v>45</v>
      </c>
      <c r="B32" s="27" t="s">
        <v>154</v>
      </c>
      <c r="C32" s="28">
        <v>23</v>
      </c>
      <c r="D32" s="27" t="s">
        <v>42</v>
      </c>
      <c r="E32" s="61">
        <v>45570</v>
      </c>
      <c r="F32" s="29">
        <v>45601</v>
      </c>
      <c r="G32" s="27" t="s">
        <v>94</v>
      </c>
      <c r="H32" s="27" t="s">
        <v>48</v>
      </c>
      <c r="I32" s="28" t="s">
        <v>53</v>
      </c>
      <c r="J32" s="27" t="s">
        <v>694</v>
      </c>
      <c r="K32" s="28" t="s">
        <v>95</v>
      </c>
      <c r="L32" s="28" t="s">
        <v>154</v>
      </c>
      <c r="M32" s="28">
        <v>1</v>
      </c>
      <c r="N32" s="23">
        <v>1350</v>
      </c>
      <c r="O32" s="27" t="s">
        <v>106</v>
      </c>
      <c r="P32" s="27" t="s">
        <v>50</v>
      </c>
      <c r="Q32" s="27" t="str">
        <f>_xlfn.CONCAT(Table14[[#This Row],[Clase]]," ",Table14[[#This Row],[Tipo]])</f>
        <v>Canto G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f>500+850</f>
        <v>1350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8">
        <f>SUM(Table14[[#This Row],[Julio]:[Diciembre2]])</f>
        <v>1350</v>
      </c>
      <c r="AW32" s="23"/>
    </row>
    <row r="33" spans="1:51" x14ac:dyDescent="0.4">
      <c r="A33" s="64">
        <v>41</v>
      </c>
      <c r="B33" s="27" t="s">
        <v>144</v>
      </c>
      <c r="C33" s="28">
        <v>45</v>
      </c>
      <c r="D33" s="27" t="s">
        <v>37</v>
      </c>
      <c r="E33" s="61">
        <v>45564</v>
      </c>
      <c r="F33" s="29">
        <v>45594</v>
      </c>
      <c r="G33" s="27" t="s">
        <v>94</v>
      </c>
      <c r="H33" s="27" t="s">
        <v>45</v>
      </c>
      <c r="I33" s="28" t="s">
        <v>53</v>
      </c>
      <c r="J33" s="27" t="s">
        <v>690</v>
      </c>
      <c r="K33" s="28" t="s">
        <v>95</v>
      </c>
      <c r="L33" s="28" t="s">
        <v>145</v>
      </c>
      <c r="M33" s="28">
        <v>1</v>
      </c>
      <c r="N33" s="23">
        <v>1350</v>
      </c>
      <c r="O33" s="27" t="s">
        <v>106</v>
      </c>
      <c r="P33" s="27" t="s">
        <v>50</v>
      </c>
      <c r="Q33" s="27" t="str">
        <f>_xlfn.CONCAT(Table14[[#This Row],[Clase]]," ",Table14[[#This Row],[Tipo]])</f>
        <v>Guitarra G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1350</v>
      </c>
      <c r="AG33" s="30">
        <v>1350</v>
      </c>
      <c r="AH33" s="30">
        <v>1350</v>
      </c>
      <c r="AI33" s="30">
        <v>1350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4">
        <f>SUM(Table14[[#This Row],[Julio]:[Diciembre2]])</f>
        <v>5400</v>
      </c>
      <c r="AW33" s="23"/>
    </row>
    <row r="34" spans="1:51" x14ac:dyDescent="0.4">
      <c r="A34" s="64">
        <v>84</v>
      </c>
      <c r="B34" s="27" t="s">
        <v>564</v>
      </c>
      <c r="C34" s="28">
        <v>31</v>
      </c>
      <c r="D34" s="27" t="s">
        <v>40</v>
      </c>
      <c r="E34" s="61">
        <v>45831</v>
      </c>
      <c r="F34" s="29">
        <v>45861</v>
      </c>
      <c r="G34" s="27" t="s">
        <v>94</v>
      </c>
      <c r="H34" s="27" t="s">
        <v>45</v>
      </c>
      <c r="I34" s="28" t="s">
        <v>53</v>
      </c>
      <c r="J34" s="27" t="s">
        <v>700</v>
      </c>
      <c r="K34" s="28" t="s">
        <v>98</v>
      </c>
      <c r="L34" s="28"/>
      <c r="M34" s="28">
        <v>1</v>
      </c>
      <c r="N34" s="23"/>
      <c r="O34" s="27" t="s">
        <v>118</v>
      </c>
      <c r="P34" s="27" t="s">
        <v>50</v>
      </c>
      <c r="Q34" s="27" t="str">
        <f>_xlfn.CONCAT(Table14[[#This Row],[Clase]]," ",Table14[[#This Row],[Tipo]])</f>
        <v>Guitarra G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0</v>
      </c>
      <c r="AB34" s="30">
        <v>0</v>
      </c>
      <c r="AC34" s="30">
        <v>0</v>
      </c>
      <c r="AD34" s="30">
        <v>0</v>
      </c>
      <c r="AE34" s="30">
        <v>0</v>
      </c>
      <c r="AF34" s="30">
        <v>0</v>
      </c>
      <c r="AG34" s="30">
        <v>0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1350</v>
      </c>
      <c r="AP34" s="30">
        <v>1350</v>
      </c>
      <c r="AQ34" s="30">
        <v>1350</v>
      </c>
      <c r="AR34" s="30">
        <v>1350</v>
      </c>
      <c r="AS34" s="30">
        <v>0</v>
      </c>
      <c r="AT34" s="23">
        <v>0</v>
      </c>
      <c r="AU34" s="23"/>
      <c r="AV34" s="38">
        <f>SUM(Table14[[#This Row],[Julio]:[Diciembre2]])</f>
        <v>5400</v>
      </c>
      <c r="AW34" s="23" t="s">
        <v>98</v>
      </c>
    </row>
    <row r="35" spans="1:51" x14ac:dyDescent="0.4">
      <c r="A35" s="53">
        <v>63</v>
      </c>
      <c r="B35" t="s">
        <v>647</v>
      </c>
      <c r="C35" s="1">
        <v>15</v>
      </c>
      <c r="D35" t="s">
        <v>40</v>
      </c>
      <c r="E35" s="60">
        <v>45703</v>
      </c>
      <c r="F35" s="20">
        <v>45731</v>
      </c>
      <c r="G35" t="s">
        <v>94</v>
      </c>
      <c r="H35" t="s">
        <v>45</v>
      </c>
      <c r="I35" s="1" t="s">
        <v>53</v>
      </c>
      <c r="J35" t="s">
        <v>692</v>
      </c>
      <c r="K35" s="1" t="s">
        <v>8</v>
      </c>
      <c r="L35" s="1" t="s">
        <v>609</v>
      </c>
      <c r="M35" s="1">
        <v>1</v>
      </c>
      <c r="N35" s="23"/>
      <c r="O35" t="s">
        <v>118</v>
      </c>
      <c r="P35" t="s">
        <v>44</v>
      </c>
      <c r="Q35" t="str">
        <f>_xlfn.CONCAT(Table14[[#This Row],[Clase]]," ",Table14[[#This Row],[Tipo]])</f>
        <v>Guitarra G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1350</v>
      </c>
      <c r="AM35" s="23">
        <v>1350</v>
      </c>
      <c r="AN35" s="23">
        <v>1350</v>
      </c>
      <c r="AO35" s="23">
        <f>1050+300</f>
        <v>1350</v>
      </c>
      <c r="AP35" s="23">
        <v>1350</v>
      </c>
      <c r="AQ35" s="23">
        <v>1350</v>
      </c>
      <c r="AR35" s="23">
        <v>1350</v>
      </c>
      <c r="AS35" s="23">
        <v>1350</v>
      </c>
      <c r="AT35" s="23">
        <v>1350</v>
      </c>
      <c r="AU35" s="23"/>
      <c r="AV35" s="38">
        <f>SUM(Table14[[#This Row],[Julio]:[Diciembre2]])</f>
        <v>12150</v>
      </c>
      <c r="AW35" s="23" t="s">
        <v>659</v>
      </c>
    </row>
    <row r="36" spans="1:51" x14ac:dyDescent="0.4">
      <c r="A36" s="53">
        <v>54</v>
      </c>
      <c r="B36" t="s">
        <v>576</v>
      </c>
      <c r="C36" s="1">
        <v>10</v>
      </c>
      <c r="D36" t="s">
        <v>40</v>
      </c>
      <c r="E36" s="60">
        <v>45636</v>
      </c>
      <c r="F36" s="20">
        <v>45683</v>
      </c>
      <c r="G36" t="s">
        <v>94</v>
      </c>
      <c r="H36" t="s">
        <v>45</v>
      </c>
      <c r="I36" s="1" t="s">
        <v>53</v>
      </c>
      <c r="J36" t="s">
        <v>719</v>
      </c>
      <c r="K36" s="1" t="s">
        <v>8</v>
      </c>
      <c r="L36" s="1" t="s">
        <v>162</v>
      </c>
      <c r="M36" s="1">
        <v>1</v>
      </c>
      <c r="N36" s="23"/>
      <c r="O36" t="s">
        <v>106</v>
      </c>
      <c r="P36" t="s">
        <v>44</v>
      </c>
      <c r="Q36" t="str">
        <f>_xlfn.CONCAT(Table14[[#This Row],[Clase]]," ",Table14[[#This Row],[Tipo]])</f>
        <v>Guitarra G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41">
        <v>1275</v>
      </c>
      <c r="AJ36" s="41">
        <v>1275</v>
      </c>
      <c r="AK36" s="41">
        <v>1275</v>
      </c>
      <c r="AL36" s="41">
        <f>3900/2</f>
        <v>1950</v>
      </c>
      <c r="AM36" s="41">
        <f>2700/2</f>
        <v>1350</v>
      </c>
      <c r="AN36" s="41">
        <v>1275</v>
      </c>
      <c r="AO36" s="41">
        <f>3825/3</f>
        <v>1275</v>
      </c>
      <c r="AP36" s="41">
        <v>1275</v>
      </c>
      <c r="AQ36" s="41">
        <v>1275</v>
      </c>
      <c r="AR36" s="23">
        <v>1275</v>
      </c>
      <c r="AS36" s="23">
        <v>1275</v>
      </c>
      <c r="AT36" s="23">
        <v>1275</v>
      </c>
      <c r="AU36" s="23"/>
      <c r="AV36" s="38">
        <f>SUM(Table14[[#This Row],[Julio]:[Diciembre2]])</f>
        <v>16050</v>
      </c>
      <c r="AW36" s="23" t="s">
        <v>660</v>
      </c>
    </row>
    <row r="37" spans="1:51" x14ac:dyDescent="0.4">
      <c r="A37" s="53">
        <v>105</v>
      </c>
      <c r="B37" t="s">
        <v>654</v>
      </c>
      <c r="C37" s="1">
        <v>5</v>
      </c>
      <c r="D37" t="s">
        <v>649</v>
      </c>
      <c r="E37" s="60">
        <v>45912</v>
      </c>
      <c r="F37" s="20">
        <v>45942</v>
      </c>
      <c r="G37" t="s">
        <v>94</v>
      </c>
      <c r="H37" t="s">
        <v>47</v>
      </c>
      <c r="I37" s="1" t="s">
        <v>53</v>
      </c>
      <c r="J37" t="s">
        <v>656</v>
      </c>
      <c r="K37" s="1" t="s">
        <v>95</v>
      </c>
      <c r="N37" s="23"/>
      <c r="O37" t="s">
        <v>118</v>
      </c>
      <c r="P37" t="s">
        <v>44</v>
      </c>
      <c r="Q37" t="str">
        <f>_xlfn.CONCAT(Table14[[#This Row],[Clase]]," ",Table14[[#This Row],[Tipo]])</f>
        <v>Teclado G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1350</v>
      </c>
      <c r="AS37" s="23">
        <v>1350</v>
      </c>
      <c r="AT37" s="23">
        <v>1375</v>
      </c>
      <c r="AU37" s="23"/>
      <c r="AV37" s="38">
        <f>SUM(Table14[[#This Row],[Julio]:[Diciembre2]])</f>
        <v>4075</v>
      </c>
      <c r="AW37" s="23"/>
    </row>
    <row r="38" spans="1:51" x14ac:dyDescent="0.4">
      <c r="A38" s="53">
        <v>103</v>
      </c>
      <c r="B38" t="s">
        <v>657</v>
      </c>
      <c r="C38" s="1">
        <v>15</v>
      </c>
      <c r="D38" t="s">
        <v>38</v>
      </c>
      <c r="E38" s="60">
        <v>45902</v>
      </c>
      <c r="F38" s="20">
        <v>45932</v>
      </c>
      <c r="G38" t="s">
        <v>94</v>
      </c>
      <c r="H38" t="s">
        <v>46</v>
      </c>
      <c r="I38" s="1" t="s">
        <v>53</v>
      </c>
      <c r="J38" t="s">
        <v>699</v>
      </c>
      <c r="K38" s="1" t="s">
        <v>8</v>
      </c>
      <c r="M38" s="1">
        <v>2</v>
      </c>
      <c r="N38" s="23"/>
      <c r="O38" t="s">
        <v>118</v>
      </c>
      <c r="P38" t="s">
        <v>44</v>
      </c>
      <c r="Q38" t="str">
        <f>_xlfn.CONCAT(Table14[[#This Row],[Clase]]," ",Table14[[#This Row],[Tipo]])</f>
        <v>Batería G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>
        <v>0</v>
      </c>
      <c r="AP38" s="23">
        <v>0</v>
      </c>
      <c r="AQ38" s="23">
        <v>0</v>
      </c>
      <c r="AR38" s="23">
        <v>2300</v>
      </c>
      <c r="AS38" s="23">
        <v>2300</v>
      </c>
      <c r="AT38" s="23">
        <v>2300</v>
      </c>
      <c r="AU38" s="23"/>
      <c r="AV38" s="38">
        <f>SUM(Table14[[#This Row],[Julio]:[Diciembre2]])</f>
        <v>6900</v>
      </c>
      <c r="AW38" s="23"/>
    </row>
    <row r="39" spans="1:51" x14ac:dyDescent="0.4">
      <c r="A39" s="64">
        <v>9</v>
      </c>
      <c r="B39" s="27" t="s">
        <v>105</v>
      </c>
      <c r="C39" s="28">
        <v>16</v>
      </c>
      <c r="D39" s="27" t="s">
        <v>37</v>
      </c>
      <c r="E39" s="61">
        <v>45196</v>
      </c>
      <c r="F39" s="29">
        <v>45226</v>
      </c>
      <c r="G39" s="27" t="s">
        <v>94</v>
      </c>
      <c r="H39" s="27" t="s">
        <v>45</v>
      </c>
      <c r="I39" s="28" t="s">
        <v>53</v>
      </c>
      <c r="J39" s="27" t="s">
        <v>696</v>
      </c>
      <c r="K39" s="28" t="s">
        <v>8</v>
      </c>
      <c r="L39" s="28"/>
      <c r="M39" s="28">
        <v>1</v>
      </c>
      <c r="N39" s="30">
        <v>1350</v>
      </c>
      <c r="O39" s="27" t="s">
        <v>106</v>
      </c>
      <c r="P39" s="27" t="s">
        <v>50</v>
      </c>
      <c r="Q39" s="27" t="str">
        <f>_xlfn.CONCAT(Table14[[#This Row],[Clase]]," ",Table14[[#This Row],[Tipo]])</f>
        <v>Guitarra G</v>
      </c>
      <c r="R39" s="30">
        <v>0</v>
      </c>
      <c r="S39" s="30">
        <v>0</v>
      </c>
      <c r="T39" s="30">
        <v>1350</v>
      </c>
      <c r="U39" s="30">
        <v>1350</v>
      </c>
      <c r="V39" s="30">
        <v>1350</v>
      </c>
      <c r="W39" s="30">
        <v>1350</v>
      </c>
      <c r="X39" s="30">
        <v>1350</v>
      </c>
      <c r="Y39" s="30">
        <v>1350</v>
      </c>
      <c r="Z39" s="30">
        <v>1350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4">
        <f>SUM(Table14[[#This Row],[Julio]:[Diciembre2]])</f>
        <v>9450</v>
      </c>
      <c r="AW39" s="23"/>
    </row>
    <row r="40" spans="1:51" x14ac:dyDescent="0.4">
      <c r="A40" s="64">
        <v>10</v>
      </c>
      <c r="B40" s="27" t="s">
        <v>105</v>
      </c>
      <c r="C40" s="28">
        <v>16</v>
      </c>
      <c r="D40" s="27" t="s">
        <v>38</v>
      </c>
      <c r="E40" s="61">
        <v>45196</v>
      </c>
      <c r="F40" s="29">
        <v>45226</v>
      </c>
      <c r="G40" s="27" t="s">
        <v>94</v>
      </c>
      <c r="H40" s="27" t="s">
        <v>46</v>
      </c>
      <c r="I40" s="28" t="s">
        <v>53</v>
      </c>
      <c r="J40" s="27" t="s">
        <v>691</v>
      </c>
      <c r="K40" s="28" t="s">
        <v>95</v>
      </c>
      <c r="L40" s="28"/>
      <c r="M40" s="28">
        <v>1</v>
      </c>
      <c r="N40" s="30">
        <v>1350</v>
      </c>
      <c r="O40" s="27" t="s">
        <v>106</v>
      </c>
      <c r="P40" s="27" t="s">
        <v>50</v>
      </c>
      <c r="Q40" s="27" t="str">
        <f>_xlfn.CONCAT(Table14[[#This Row],[Clase]]," ",Table14[[#This Row],[Tipo]])</f>
        <v>Batería G</v>
      </c>
      <c r="R40" s="30">
        <v>0</v>
      </c>
      <c r="S40" s="30">
        <v>0</v>
      </c>
      <c r="T40" s="30">
        <v>1350</v>
      </c>
      <c r="U40" s="30">
        <v>1350</v>
      </c>
      <c r="V40" s="30">
        <v>1350</v>
      </c>
      <c r="W40" s="30">
        <v>1350</v>
      </c>
      <c r="X40" s="30">
        <v>1350</v>
      </c>
      <c r="Y40" s="30">
        <v>1350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4">
        <f>SUM(Table14[[#This Row],[Julio]:[Diciembre2]])</f>
        <v>8100</v>
      </c>
      <c r="AW40" s="23"/>
      <c r="AY40">
        <f>3900/3</f>
        <v>1300</v>
      </c>
    </row>
    <row r="41" spans="1:51" x14ac:dyDescent="0.4">
      <c r="A41" s="64">
        <v>27</v>
      </c>
      <c r="B41" s="27" t="s">
        <v>125</v>
      </c>
      <c r="C41" s="28">
        <v>22</v>
      </c>
      <c r="D41" s="27" t="s">
        <v>37</v>
      </c>
      <c r="E41" s="61">
        <v>45453</v>
      </c>
      <c r="F41" s="29">
        <v>45483</v>
      </c>
      <c r="G41" s="27" t="s">
        <v>94</v>
      </c>
      <c r="H41" s="27" t="s">
        <v>45</v>
      </c>
      <c r="I41" s="28" t="s">
        <v>53</v>
      </c>
      <c r="J41" s="27" t="s">
        <v>694</v>
      </c>
      <c r="K41" s="28" t="s">
        <v>95</v>
      </c>
      <c r="L41" s="28" t="s">
        <v>126</v>
      </c>
      <c r="M41" s="28">
        <v>1</v>
      </c>
      <c r="N41" s="23">
        <v>1350</v>
      </c>
      <c r="O41" s="27" t="s">
        <v>106</v>
      </c>
      <c r="P41" s="27" t="s">
        <v>50</v>
      </c>
      <c r="Q41" s="27" t="str">
        <f>_xlfn.CONCAT(Table14[[#This Row],[Clase]]," ",Table14[[#This Row],[Tipo]])</f>
        <v>Guitarra G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0</v>
      </c>
      <c r="AB41" s="30">
        <v>0</v>
      </c>
      <c r="AC41" s="30">
        <v>1350</v>
      </c>
      <c r="AD41" s="30">
        <v>1350</v>
      </c>
      <c r="AE41" s="30">
        <v>1350</v>
      </c>
      <c r="AF41" s="30">
        <v>1350</v>
      </c>
      <c r="AG41" s="30">
        <v>1350</v>
      </c>
      <c r="AH41" s="30">
        <v>1350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0</v>
      </c>
      <c r="AV41" s="4">
        <f>SUM(Table14[[#This Row],[Julio]:[Diciembre2]])</f>
        <v>8100</v>
      </c>
      <c r="AW41" s="23"/>
    </row>
    <row r="42" spans="1:51" x14ac:dyDescent="0.4">
      <c r="A42" s="64">
        <v>92</v>
      </c>
      <c r="B42" s="27" t="s">
        <v>610</v>
      </c>
      <c r="C42" s="28"/>
      <c r="D42" s="27" t="s">
        <v>42</v>
      </c>
      <c r="E42" s="61">
        <v>45843</v>
      </c>
      <c r="F42" s="29">
        <v>45874</v>
      </c>
      <c r="G42" s="27" t="s">
        <v>94</v>
      </c>
      <c r="H42" s="27" t="s">
        <v>48</v>
      </c>
      <c r="I42" s="28" t="s">
        <v>53</v>
      </c>
      <c r="J42" s="27" t="s">
        <v>701</v>
      </c>
      <c r="K42" s="28" t="s">
        <v>95</v>
      </c>
      <c r="L42" s="28"/>
      <c r="M42" s="28">
        <v>1</v>
      </c>
      <c r="N42" s="23"/>
      <c r="O42" s="27" t="s">
        <v>118</v>
      </c>
      <c r="P42" s="27" t="s">
        <v>50</v>
      </c>
      <c r="Q42" s="27" t="str">
        <f>_xlfn.CONCAT(Table14[[#This Row],[Clase]]," ",Table14[[#This Row],[Tipo]])</f>
        <v>Canto G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0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54">
        <v>0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0</v>
      </c>
      <c r="AP42" s="30">
        <v>1350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8">
        <f>SUM(Table14[[#This Row],[Julio]:[Diciembre2]])</f>
        <v>1350</v>
      </c>
      <c r="AW42" s="23" t="s">
        <v>653</v>
      </c>
    </row>
    <row r="43" spans="1:51" x14ac:dyDescent="0.4">
      <c r="A43" s="53">
        <v>8</v>
      </c>
      <c r="B43" s="31" t="s">
        <v>102</v>
      </c>
      <c r="C43" s="45">
        <v>32</v>
      </c>
      <c r="D43" s="31" t="s">
        <v>38</v>
      </c>
      <c r="E43" s="58">
        <v>45186</v>
      </c>
      <c r="F43" s="46">
        <v>45764</v>
      </c>
      <c r="G43" s="31" t="s">
        <v>94</v>
      </c>
      <c r="H43" s="31" t="s">
        <v>46</v>
      </c>
      <c r="I43" s="45" t="s">
        <v>53</v>
      </c>
      <c r="J43" s="31" t="s">
        <v>707</v>
      </c>
      <c r="K43" s="45" t="s">
        <v>8</v>
      </c>
      <c r="L43" s="45" t="s">
        <v>516</v>
      </c>
      <c r="M43" s="45">
        <v>1</v>
      </c>
      <c r="N43" s="41">
        <v>1500</v>
      </c>
      <c r="O43" s="31" t="s">
        <v>106</v>
      </c>
      <c r="P43" s="31" t="s">
        <v>44</v>
      </c>
      <c r="Q43" s="31" t="str">
        <f>_xlfn.CONCAT(Table14[[#This Row],[Clase]]," ",Table14[[#This Row],[Tipo]])</f>
        <v>Batería G</v>
      </c>
      <c r="R43" s="41">
        <v>0</v>
      </c>
      <c r="S43" s="41">
        <v>0</v>
      </c>
      <c r="T43" s="41">
        <v>1500</v>
      </c>
      <c r="U43" s="41">
        <v>1500</v>
      </c>
      <c r="V43" s="41">
        <v>0</v>
      </c>
      <c r="W43" s="41">
        <v>1500</v>
      </c>
      <c r="X43" s="41">
        <v>1500</v>
      </c>
      <c r="Y43" s="41">
        <v>1500</v>
      </c>
      <c r="Z43" s="41">
        <v>1500</v>
      </c>
      <c r="AA43" s="41">
        <v>1500</v>
      </c>
      <c r="AB43" s="41">
        <v>1500</v>
      </c>
      <c r="AC43" s="41">
        <v>1500</v>
      </c>
      <c r="AD43" s="41">
        <v>1350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>
        <v>1350</v>
      </c>
      <c r="AK43" s="41">
        <v>1350</v>
      </c>
      <c r="AL43" s="41">
        <v>1350</v>
      </c>
      <c r="AM43" s="41">
        <v>1350</v>
      </c>
      <c r="AN43" s="41">
        <v>1350</v>
      </c>
      <c r="AO43" s="41">
        <v>1350</v>
      </c>
      <c r="AP43" s="41">
        <v>1350</v>
      </c>
      <c r="AQ43" s="41">
        <v>1350</v>
      </c>
      <c r="AR43" s="41">
        <v>1350</v>
      </c>
      <c r="AS43" s="41">
        <v>1350</v>
      </c>
      <c r="AT43" s="41">
        <v>1350</v>
      </c>
      <c r="AU43" s="41"/>
      <c r="AV43" s="37">
        <f>SUM(Table14[[#This Row],[Julio]:[Diciembre2]])</f>
        <v>29700</v>
      </c>
      <c r="AW43" s="41"/>
    </row>
    <row r="44" spans="1:51" x14ac:dyDescent="0.4">
      <c r="A44" s="53">
        <v>72</v>
      </c>
      <c r="B44" t="s">
        <v>560</v>
      </c>
      <c r="C44" s="1">
        <v>34</v>
      </c>
      <c r="D44" t="s">
        <v>38</v>
      </c>
      <c r="E44" s="60">
        <v>45794</v>
      </c>
      <c r="F44" s="20">
        <v>45825</v>
      </c>
      <c r="G44" t="s">
        <v>94</v>
      </c>
      <c r="H44" t="s">
        <v>46</v>
      </c>
      <c r="I44" s="1" t="s">
        <v>53</v>
      </c>
      <c r="J44" t="s">
        <v>702</v>
      </c>
      <c r="K44" s="1" t="s">
        <v>95</v>
      </c>
      <c r="M44" s="1">
        <v>1</v>
      </c>
      <c r="N44" s="23"/>
      <c r="O44" t="s">
        <v>118</v>
      </c>
      <c r="P44" t="s">
        <v>44</v>
      </c>
      <c r="Q44" t="str">
        <f>_xlfn.CONCAT(Table14[[#This Row],[Clase]]," ",Table14[[#This Row],[Tipo]])</f>
        <v>Batería G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1350</v>
      </c>
      <c r="AO44" s="23">
        <v>1350</v>
      </c>
      <c r="AP44" s="23">
        <v>1350</v>
      </c>
      <c r="AQ44" s="23">
        <v>1350</v>
      </c>
      <c r="AR44" s="23">
        <v>1350</v>
      </c>
      <c r="AS44" s="23">
        <v>1350</v>
      </c>
      <c r="AT44" s="23">
        <v>1350</v>
      </c>
      <c r="AU44" s="23"/>
      <c r="AV44" s="38">
        <f>SUM(Table14[[#This Row],[Julio]:[Diciembre2]])</f>
        <v>9450</v>
      </c>
      <c r="AW44" s="23" t="s">
        <v>727</v>
      </c>
    </row>
    <row r="45" spans="1:51" x14ac:dyDescent="0.4">
      <c r="A45" s="53">
        <v>106</v>
      </c>
      <c r="B45" t="s">
        <v>655</v>
      </c>
      <c r="C45" s="1">
        <v>9</v>
      </c>
      <c r="D45" t="s">
        <v>649</v>
      </c>
      <c r="E45" s="60">
        <v>45930</v>
      </c>
      <c r="F45" s="20">
        <v>45960</v>
      </c>
      <c r="G45" t="s">
        <v>94</v>
      </c>
      <c r="H45" t="s">
        <v>47</v>
      </c>
      <c r="I45" s="1" t="s">
        <v>53</v>
      </c>
      <c r="J45" t="s">
        <v>703</v>
      </c>
      <c r="K45" s="1" t="s">
        <v>95</v>
      </c>
      <c r="M45" s="1">
        <v>1</v>
      </c>
      <c r="N45" s="23"/>
      <c r="O45" t="s">
        <v>118</v>
      </c>
      <c r="P45" t="s">
        <v>44</v>
      </c>
      <c r="Q45" t="str">
        <f>_xlfn.CONCAT(Table14[[#This Row],[Clase]]," ",Table14[[#This Row],[Tipo]])</f>
        <v>Teclado G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49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>
        <v>0</v>
      </c>
      <c r="AP45" s="23">
        <v>0</v>
      </c>
      <c r="AQ45" s="23">
        <v>0</v>
      </c>
      <c r="AR45" s="23">
        <v>0</v>
      </c>
      <c r="AS45" s="23">
        <v>1350</v>
      </c>
      <c r="AT45" s="23">
        <v>1350</v>
      </c>
      <c r="AU45" s="23"/>
      <c r="AV45" s="38">
        <f>SUM(Table14[[#This Row],[Julio]:[Diciembre2]])</f>
        <v>2700</v>
      </c>
      <c r="AW45" s="23"/>
    </row>
    <row r="46" spans="1:51" x14ac:dyDescent="0.4">
      <c r="A46" s="64">
        <v>67</v>
      </c>
      <c r="B46" s="27" t="s">
        <v>552</v>
      </c>
      <c r="C46" s="28"/>
      <c r="D46" s="27" t="s">
        <v>40</v>
      </c>
      <c r="E46" s="61">
        <v>45742</v>
      </c>
      <c r="F46" s="29">
        <v>45773</v>
      </c>
      <c r="G46" s="27" t="s">
        <v>94</v>
      </c>
      <c r="H46" s="27" t="s">
        <v>45</v>
      </c>
      <c r="I46" s="28" t="s">
        <v>53</v>
      </c>
      <c r="J46" s="27"/>
      <c r="K46" s="28" t="s">
        <v>95</v>
      </c>
      <c r="L46" s="28"/>
      <c r="M46" s="28">
        <v>1</v>
      </c>
      <c r="N46" s="23"/>
      <c r="O46" s="27" t="s">
        <v>118</v>
      </c>
      <c r="P46" s="27" t="s">
        <v>50</v>
      </c>
      <c r="Q46" s="27" t="str">
        <f>_xlfn.CONCAT(Table14[[#This Row],[Clase]]," ",Table14[[#This Row],[Tipo]])</f>
        <v>Guitarra G</v>
      </c>
      <c r="R46" s="30">
        <v>0</v>
      </c>
      <c r="S46" s="30">
        <v>0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1200</v>
      </c>
      <c r="AN46" s="30">
        <v>1275</v>
      </c>
      <c r="AO46" s="30">
        <f>3825/3</f>
        <v>1275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0</v>
      </c>
      <c r="AV46" s="38">
        <f>SUM(Table14[[#This Row],[Julio]:[Diciembre2]])</f>
        <v>3750</v>
      </c>
      <c r="AW46" s="23"/>
    </row>
    <row r="47" spans="1:51" x14ac:dyDescent="0.4">
      <c r="A47" s="53">
        <v>74</v>
      </c>
      <c r="B47" t="s">
        <v>554</v>
      </c>
      <c r="C47" s="1">
        <v>7</v>
      </c>
      <c r="D47" t="s">
        <v>38</v>
      </c>
      <c r="E47" s="60">
        <v>45797</v>
      </c>
      <c r="F47" s="20">
        <v>45828</v>
      </c>
      <c r="G47" t="s">
        <v>94</v>
      </c>
      <c r="H47" t="s">
        <v>46</v>
      </c>
      <c r="I47" s="1" t="s">
        <v>53</v>
      </c>
      <c r="J47" t="s">
        <v>704</v>
      </c>
      <c r="K47" s="1" t="s">
        <v>95</v>
      </c>
      <c r="M47" s="1">
        <v>1</v>
      </c>
      <c r="N47" s="23"/>
      <c r="O47" t="s">
        <v>118</v>
      </c>
      <c r="P47" t="s">
        <v>44</v>
      </c>
      <c r="Q47" t="str">
        <f>_xlfn.CONCAT(Table14[[#This Row],[Clase]]," ",Table14[[#This Row],[Tipo]])</f>
        <v>Batería G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1350</v>
      </c>
      <c r="AO47" s="23">
        <v>1350</v>
      </c>
      <c r="AP47" s="23">
        <v>1350</v>
      </c>
      <c r="AQ47" s="23">
        <v>1350</v>
      </c>
      <c r="AR47" s="23">
        <v>1350</v>
      </c>
      <c r="AS47" s="23">
        <v>1350</v>
      </c>
      <c r="AT47" s="23">
        <v>1350</v>
      </c>
      <c r="AU47" s="23"/>
      <c r="AV47" s="38">
        <f>SUM(Table14[[#This Row],[Julio]:[Diciembre2]])</f>
        <v>9450</v>
      </c>
      <c r="AW47" s="23"/>
    </row>
    <row r="48" spans="1:51" x14ac:dyDescent="0.4">
      <c r="A48" s="53">
        <v>12</v>
      </c>
      <c r="B48" t="s">
        <v>108</v>
      </c>
      <c r="C48" s="1">
        <v>15</v>
      </c>
      <c r="D48" t="s">
        <v>37</v>
      </c>
      <c r="E48" s="60">
        <v>45219</v>
      </c>
      <c r="F48" s="20">
        <v>45250</v>
      </c>
      <c r="G48" t="s">
        <v>94</v>
      </c>
      <c r="H48" t="s">
        <v>45</v>
      </c>
      <c r="I48" s="1" t="s">
        <v>53</v>
      </c>
      <c r="J48" t="s">
        <v>694</v>
      </c>
      <c r="K48" s="1" t="s">
        <v>95</v>
      </c>
      <c r="L48" s="1" t="s">
        <v>109</v>
      </c>
      <c r="M48" s="1">
        <v>1</v>
      </c>
      <c r="N48" s="23">
        <v>1350</v>
      </c>
      <c r="O48" t="s">
        <v>106</v>
      </c>
      <c r="P48" t="s">
        <v>44</v>
      </c>
      <c r="Q48" t="str">
        <f>_xlfn.CONCAT(Table14[[#This Row],[Clase]]," ",Table14[[#This Row],[Tipo]])</f>
        <v>Guitarra G</v>
      </c>
      <c r="R48" s="23">
        <v>0</v>
      </c>
      <c r="S48" s="23">
        <v>0</v>
      </c>
      <c r="T48" s="23">
        <v>0</v>
      </c>
      <c r="U48" s="23">
        <v>1350</v>
      </c>
      <c r="V48" s="23">
        <v>1350</v>
      </c>
      <c r="W48" s="23">
        <v>1350</v>
      </c>
      <c r="X48" s="23">
        <v>1350</v>
      </c>
      <c r="Y48" s="23">
        <v>1350</v>
      </c>
      <c r="Z48" s="23">
        <v>1350</v>
      </c>
      <c r="AA48" s="23">
        <v>1350</v>
      </c>
      <c r="AB48" s="23">
        <v>1350</v>
      </c>
      <c r="AC48" s="23">
        <v>1350</v>
      </c>
      <c r="AD48" s="23">
        <v>1350</v>
      </c>
      <c r="AE48" s="23">
        <v>1350</v>
      </c>
      <c r="AF48" s="23">
        <v>1350</v>
      </c>
      <c r="AG48" s="23">
        <v>1350</v>
      </c>
      <c r="AH48" s="23">
        <v>1350</v>
      </c>
      <c r="AI48" s="23">
        <v>1350</v>
      </c>
      <c r="AJ48" s="23">
        <v>1350</v>
      </c>
      <c r="AK48" s="23">
        <v>1350</v>
      </c>
      <c r="AL48" s="23">
        <v>1350</v>
      </c>
      <c r="AM48" s="23">
        <v>1350</v>
      </c>
      <c r="AN48" s="23">
        <v>1350</v>
      </c>
      <c r="AO48" s="23">
        <v>1275</v>
      </c>
      <c r="AP48" s="23">
        <v>1275</v>
      </c>
      <c r="AQ48" s="41">
        <v>1275</v>
      </c>
      <c r="AR48" s="23">
        <v>1275</v>
      </c>
      <c r="AS48" s="41">
        <v>1275</v>
      </c>
      <c r="AT48" s="30">
        <v>1275</v>
      </c>
      <c r="AU48" s="23"/>
      <c r="AV48" s="4">
        <f>SUM(Table14[[#This Row],[Julio]:[Diciembre2]])</f>
        <v>34650</v>
      </c>
      <c r="AW48" s="23"/>
    </row>
    <row r="49" spans="1:49" x14ac:dyDescent="0.4">
      <c r="A49" s="53">
        <v>16</v>
      </c>
      <c r="B49" t="s">
        <v>651</v>
      </c>
      <c r="C49" s="1">
        <v>40</v>
      </c>
      <c r="D49" t="s">
        <v>38</v>
      </c>
      <c r="E49" s="60">
        <v>45355</v>
      </c>
      <c r="F49" s="20">
        <v>45386</v>
      </c>
      <c r="G49" t="s">
        <v>94</v>
      </c>
      <c r="H49" t="s">
        <v>46</v>
      </c>
      <c r="I49" s="1" t="s">
        <v>54</v>
      </c>
      <c r="J49" t="s">
        <v>690</v>
      </c>
      <c r="K49" s="1" t="s">
        <v>95</v>
      </c>
      <c r="L49" s="1" t="s">
        <v>116</v>
      </c>
      <c r="M49" s="1">
        <v>1</v>
      </c>
      <c r="N49" s="23">
        <v>2000</v>
      </c>
      <c r="O49" t="s">
        <v>106</v>
      </c>
      <c r="P49" t="s">
        <v>44</v>
      </c>
      <c r="Q49" s="31" t="str">
        <f>_xlfn.CONCAT(Table14[[#This Row],[Clase]]," ",Table14[[#This Row],[Tipo]])</f>
        <v>Batería I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2000</v>
      </c>
      <c r="AA49" s="23">
        <v>2000</v>
      </c>
      <c r="AB49" s="23">
        <v>2000</v>
      </c>
      <c r="AC49" s="23">
        <v>2000</v>
      </c>
      <c r="AD49" s="23">
        <v>2000</v>
      </c>
      <c r="AE49" s="23">
        <v>2000</v>
      </c>
      <c r="AF49" s="23">
        <v>1800</v>
      </c>
      <c r="AG49" s="23">
        <v>1800</v>
      </c>
      <c r="AH49" s="23">
        <v>1800</v>
      </c>
      <c r="AI49" s="23">
        <v>1800</v>
      </c>
      <c r="AJ49" s="23">
        <v>1800</v>
      </c>
      <c r="AK49" s="41">
        <v>1800</v>
      </c>
      <c r="AL49" s="41">
        <v>1800</v>
      </c>
      <c r="AM49" s="41">
        <v>1800</v>
      </c>
      <c r="AN49" s="41">
        <v>1800</v>
      </c>
      <c r="AO49" s="41">
        <v>1800</v>
      </c>
      <c r="AP49" s="41">
        <v>1800</v>
      </c>
      <c r="AQ49" s="41">
        <v>1800</v>
      </c>
      <c r="AR49" s="23">
        <v>1800</v>
      </c>
      <c r="AS49" s="23">
        <v>1800</v>
      </c>
      <c r="AT49" s="23">
        <v>1800</v>
      </c>
      <c r="AU49" s="23"/>
      <c r="AV49" s="4">
        <f>SUM(Table14[[#This Row],[Julio]:[Diciembre2]])</f>
        <v>39000</v>
      </c>
      <c r="AW49" s="23"/>
    </row>
    <row r="50" spans="1:49" x14ac:dyDescent="0.4">
      <c r="A50" s="64">
        <v>1</v>
      </c>
      <c r="B50" s="27" t="s">
        <v>93</v>
      </c>
      <c r="C50" s="28">
        <v>15</v>
      </c>
      <c r="D50" s="27" t="s">
        <v>37</v>
      </c>
      <c r="E50" s="61">
        <v>45139</v>
      </c>
      <c r="F50" s="29">
        <v>45170</v>
      </c>
      <c r="G50" s="27" t="s">
        <v>94</v>
      </c>
      <c r="H50" s="27" t="s">
        <v>45</v>
      </c>
      <c r="I50" s="28" t="s">
        <v>53</v>
      </c>
      <c r="J50" s="27" t="s">
        <v>705</v>
      </c>
      <c r="K50" s="28" t="s">
        <v>95</v>
      </c>
      <c r="L50" s="28"/>
      <c r="M50" s="28">
        <v>1</v>
      </c>
      <c r="N50" s="30">
        <v>1500</v>
      </c>
      <c r="O50" s="27"/>
      <c r="P50" s="27" t="s">
        <v>50</v>
      </c>
      <c r="Q50" s="27" t="str">
        <f>_xlfn.CONCAT(Table14[[#This Row],[Clase]]," ",Table14[[#This Row],[Tipo]])</f>
        <v>Guitarra G</v>
      </c>
      <c r="R50" s="30">
        <v>0</v>
      </c>
      <c r="S50" s="30">
        <v>1500</v>
      </c>
      <c r="T50" s="30">
        <v>1350</v>
      </c>
      <c r="U50" s="30">
        <v>1350</v>
      </c>
      <c r="V50" s="30">
        <v>1350</v>
      </c>
      <c r="W50" s="30">
        <v>0</v>
      </c>
      <c r="X50" s="30">
        <v>0</v>
      </c>
      <c r="Y50" s="30">
        <v>0</v>
      </c>
      <c r="Z50" s="30">
        <v>0</v>
      </c>
      <c r="AA50" s="30">
        <v>0</v>
      </c>
      <c r="AB50" s="30">
        <v>0</v>
      </c>
      <c r="AC50" s="30">
        <v>0</v>
      </c>
      <c r="AD50" s="30">
        <v>0</v>
      </c>
      <c r="AE50" s="30">
        <v>0</v>
      </c>
      <c r="AF50" s="30">
        <v>0</v>
      </c>
      <c r="AG50" s="30">
        <v>0</v>
      </c>
      <c r="AH50" s="30">
        <v>0</v>
      </c>
      <c r="AI50" s="30">
        <v>0</v>
      </c>
      <c r="AJ50" s="30">
        <v>0</v>
      </c>
      <c r="AK50" s="30">
        <v>0</v>
      </c>
      <c r="AL50" s="30">
        <v>0</v>
      </c>
      <c r="AM50" s="30">
        <v>0</v>
      </c>
      <c r="AN50" s="30">
        <v>0</v>
      </c>
      <c r="AO50" s="30">
        <v>0</v>
      </c>
      <c r="AP50" s="30">
        <v>0</v>
      </c>
      <c r="AQ50" s="30">
        <v>0</v>
      </c>
      <c r="AR50" s="30">
        <v>0</v>
      </c>
      <c r="AS50" s="30">
        <v>0</v>
      </c>
      <c r="AT50" s="30">
        <v>0</v>
      </c>
      <c r="AU50" s="30">
        <v>0</v>
      </c>
      <c r="AV50" s="4">
        <f>SUM(Table14[[#This Row],[Julio]:[Diciembre2]])</f>
        <v>5550</v>
      </c>
      <c r="AW50" s="30"/>
    </row>
    <row r="51" spans="1:49" x14ac:dyDescent="0.4">
      <c r="A51" s="64">
        <v>80</v>
      </c>
      <c r="B51" s="27" t="s">
        <v>561</v>
      </c>
      <c r="C51" s="28">
        <v>14</v>
      </c>
      <c r="D51" s="27" t="s">
        <v>40</v>
      </c>
      <c r="E51" s="61">
        <v>45812</v>
      </c>
      <c r="F51" s="29">
        <v>45815</v>
      </c>
      <c r="G51" s="27" t="s">
        <v>94</v>
      </c>
      <c r="H51" s="27" t="s">
        <v>45</v>
      </c>
      <c r="I51" s="28" t="s">
        <v>53</v>
      </c>
      <c r="J51" s="27"/>
      <c r="K51" s="28" t="s">
        <v>95</v>
      </c>
      <c r="L51" s="28"/>
      <c r="M51" s="28">
        <v>1</v>
      </c>
      <c r="N51" s="23"/>
      <c r="O51" s="27" t="s">
        <v>118</v>
      </c>
      <c r="P51" s="27" t="s">
        <v>50</v>
      </c>
      <c r="Q51" s="27" t="str">
        <f>_xlfn.CONCAT(Table14[[#This Row],[Clase]]," ",Table14[[#This Row],[Tipo]])</f>
        <v>Guitarra G</v>
      </c>
      <c r="R51" s="30">
        <v>0</v>
      </c>
      <c r="S51" s="30">
        <v>0</v>
      </c>
      <c r="T51" s="30">
        <v>0</v>
      </c>
      <c r="U51" s="30">
        <v>0</v>
      </c>
      <c r="V51" s="30">
        <v>0</v>
      </c>
      <c r="W51" s="30">
        <v>0</v>
      </c>
      <c r="X51" s="30">
        <v>0</v>
      </c>
      <c r="Y51" s="30">
        <v>0</v>
      </c>
      <c r="Z51" s="30">
        <v>0</v>
      </c>
      <c r="AA51" s="30">
        <v>0</v>
      </c>
      <c r="AB51" s="30">
        <v>0</v>
      </c>
      <c r="AC51" s="30">
        <v>0</v>
      </c>
      <c r="AD51" s="30">
        <v>0</v>
      </c>
      <c r="AE51" s="30">
        <v>0</v>
      </c>
      <c r="AF51" s="30">
        <v>0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1350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0</v>
      </c>
      <c r="AV51" s="38">
        <f>SUM(Table14[[#This Row],[Julio]:[Diciembre2]])</f>
        <v>1350</v>
      </c>
      <c r="AW51" s="23" t="s">
        <v>617</v>
      </c>
    </row>
    <row r="52" spans="1:49" x14ac:dyDescent="0.4">
      <c r="A52" s="64">
        <v>64</v>
      </c>
      <c r="B52" s="27" t="s">
        <v>529</v>
      </c>
      <c r="C52" s="28">
        <v>27</v>
      </c>
      <c r="D52" s="27" t="s">
        <v>40</v>
      </c>
      <c r="E52" s="61">
        <v>45720</v>
      </c>
      <c r="F52" s="29">
        <v>45751</v>
      </c>
      <c r="G52" s="27" t="s">
        <v>94</v>
      </c>
      <c r="H52" s="27" t="s">
        <v>45</v>
      </c>
      <c r="I52" s="28" t="s">
        <v>53</v>
      </c>
      <c r="J52" s="27" t="s">
        <v>697</v>
      </c>
      <c r="K52" s="28" t="s">
        <v>98</v>
      </c>
      <c r="L52" s="28"/>
      <c r="M52" s="28"/>
      <c r="N52" s="23"/>
      <c r="O52" s="27"/>
      <c r="P52" s="27" t="s">
        <v>50</v>
      </c>
      <c r="Q52" s="27" t="str">
        <f>_xlfn.CONCAT(Table14[[#This Row],[Clase]]," ",Table14[[#This Row],[Tipo]])</f>
        <v>Guitarra G</v>
      </c>
      <c r="R52" s="30">
        <v>0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0</v>
      </c>
      <c r="AB52" s="30">
        <v>0</v>
      </c>
      <c r="AC52" s="30">
        <v>0</v>
      </c>
      <c r="AD52" s="30">
        <v>0</v>
      </c>
      <c r="AE52" s="30">
        <v>0</v>
      </c>
      <c r="AF52" s="30">
        <v>0</v>
      </c>
      <c r="AG52" s="30">
        <v>0</v>
      </c>
      <c r="AH52" s="30">
        <v>0</v>
      </c>
      <c r="AI52" s="30">
        <v>0</v>
      </c>
      <c r="AJ52" s="30">
        <v>0</v>
      </c>
      <c r="AK52" s="30">
        <v>0</v>
      </c>
      <c r="AL52" s="30">
        <v>1350</v>
      </c>
      <c r="AM52" s="30">
        <v>0</v>
      </c>
      <c r="AN52" s="30">
        <v>0</v>
      </c>
      <c r="AO52" s="30">
        <v>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8">
        <f>SUM(Table14[[#This Row],[Julio]:[Diciembre2]])</f>
        <v>1350</v>
      </c>
      <c r="AW52" s="23"/>
    </row>
    <row r="53" spans="1:49" x14ac:dyDescent="0.4">
      <c r="A53" s="64">
        <v>14</v>
      </c>
      <c r="B53" s="27" t="s">
        <v>112</v>
      </c>
      <c r="C53" s="28">
        <v>59</v>
      </c>
      <c r="D53" s="27" t="s">
        <v>37</v>
      </c>
      <c r="E53" s="61">
        <v>45241</v>
      </c>
      <c r="F53" s="29">
        <v>45271</v>
      </c>
      <c r="G53" s="27" t="s">
        <v>94</v>
      </c>
      <c r="H53" s="27" t="s">
        <v>45</v>
      </c>
      <c r="I53" s="28" t="s">
        <v>53</v>
      </c>
      <c r="J53" s="27" t="s">
        <v>113</v>
      </c>
      <c r="K53" s="28" t="s">
        <v>8</v>
      </c>
      <c r="L53" s="28"/>
      <c r="M53" s="28">
        <v>1</v>
      </c>
      <c r="N53" s="30">
        <v>1500</v>
      </c>
      <c r="O53" s="27"/>
      <c r="P53" s="27" t="s">
        <v>50</v>
      </c>
      <c r="Q53" s="27" t="str">
        <f>_xlfn.CONCAT(Table14[[#This Row],[Clase]]," ",Table14[[#This Row],[Tipo]])</f>
        <v>Guitarra G</v>
      </c>
      <c r="R53" s="30">
        <v>0</v>
      </c>
      <c r="S53" s="30">
        <v>0</v>
      </c>
      <c r="T53" s="30">
        <v>0</v>
      </c>
      <c r="U53" s="30">
        <v>0</v>
      </c>
      <c r="V53" s="30">
        <v>1500</v>
      </c>
      <c r="W53" s="30">
        <v>1500</v>
      </c>
      <c r="X53" s="30">
        <v>1500</v>
      </c>
      <c r="Y53" s="30">
        <v>0</v>
      </c>
      <c r="Z53" s="30">
        <v>0</v>
      </c>
      <c r="AA53" s="30">
        <v>0</v>
      </c>
      <c r="AB53" s="30">
        <v>0</v>
      </c>
      <c r="AC53" s="30">
        <v>0</v>
      </c>
      <c r="AD53" s="30">
        <v>0</v>
      </c>
      <c r="AE53" s="30">
        <v>0</v>
      </c>
      <c r="AF53" s="30">
        <v>0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0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4">
        <f>SUM(Table14[[#This Row],[Julio]:[Diciembre2]])</f>
        <v>4500</v>
      </c>
      <c r="AW53" s="23"/>
    </row>
    <row r="54" spans="1:49" x14ac:dyDescent="0.4">
      <c r="A54" s="53">
        <v>73</v>
      </c>
      <c r="B54" t="s">
        <v>556</v>
      </c>
      <c r="C54" s="1">
        <v>28</v>
      </c>
      <c r="D54" t="s">
        <v>42</v>
      </c>
      <c r="E54" s="60">
        <v>45794</v>
      </c>
      <c r="F54" s="20">
        <v>45825</v>
      </c>
      <c r="G54" t="s">
        <v>94</v>
      </c>
      <c r="H54" t="s">
        <v>48</v>
      </c>
      <c r="I54" s="1" t="s">
        <v>53</v>
      </c>
      <c r="J54" t="s">
        <v>724</v>
      </c>
      <c r="K54" s="1" t="s">
        <v>95</v>
      </c>
      <c r="M54" s="1">
        <v>1</v>
      </c>
      <c r="N54" s="23"/>
      <c r="O54" t="s">
        <v>106</v>
      </c>
      <c r="P54" t="s">
        <v>44</v>
      </c>
      <c r="Q54" t="str">
        <f>_xlfn.CONCAT(Table14[[#This Row],[Clase]]," ",Table14[[#This Row],[Tipo]])</f>
        <v>Canto G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0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23">
        <v>0</v>
      </c>
      <c r="AJ54" s="23">
        <v>0</v>
      </c>
      <c r="AK54" s="23">
        <v>0</v>
      </c>
      <c r="AL54" s="23">
        <v>0</v>
      </c>
      <c r="AM54" s="23">
        <v>0</v>
      </c>
      <c r="AN54" s="23">
        <v>1350</v>
      </c>
      <c r="AO54" s="23">
        <v>1350</v>
      </c>
      <c r="AP54" s="23">
        <v>1350</v>
      </c>
      <c r="AQ54" s="23">
        <v>1350</v>
      </c>
      <c r="AR54" s="23">
        <v>1350</v>
      </c>
      <c r="AS54" s="23">
        <v>1350</v>
      </c>
      <c r="AT54" s="23">
        <v>1350</v>
      </c>
      <c r="AU54" s="23"/>
      <c r="AV54" s="38">
        <f>SUM(Table14[[#This Row],[Julio]:[Diciembre2]])</f>
        <v>9450</v>
      </c>
      <c r="AW54" s="23"/>
    </row>
    <row r="55" spans="1:49" x14ac:dyDescent="0.4">
      <c r="A55" s="64">
        <v>39</v>
      </c>
      <c r="B55" s="27" t="s">
        <v>156</v>
      </c>
      <c r="C55" s="28">
        <v>42</v>
      </c>
      <c r="D55" s="27" t="s">
        <v>37</v>
      </c>
      <c r="E55" s="61">
        <v>45562</v>
      </c>
      <c r="F55" s="29">
        <v>45592</v>
      </c>
      <c r="G55" s="27" t="s">
        <v>94</v>
      </c>
      <c r="H55" s="27" t="s">
        <v>45</v>
      </c>
      <c r="I55" s="28" t="s">
        <v>53</v>
      </c>
      <c r="J55" s="27" t="s">
        <v>157</v>
      </c>
      <c r="K55" s="28" t="s">
        <v>95</v>
      </c>
      <c r="L55" s="28" t="s">
        <v>156</v>
      </c>
      <c r="M55" s="28">
        <v>1</v>
      </c>
      <c r="N55" s="23">
        <v>1125</v>
      </c>
      <c r="O55" s="27" t="s">
        <v>106</v>
      </c>
      <c r="P55" s="27" t="s">
        <v>50</v>
      </c>
      <c r="Q55" s="27" t="str">
        <f>_xlfn.CONCAT(Table14[[#This Row],[Clase]]," ",Table14[[#This Row],[Tipo]])</f>
        <v>Guitarra G</v>
      </c>
      <c r="R55" s="30">
        <v>0</v>
      </c>
      <c r="S55" s="30">
        <v>0</v>
      </c>
      <c r="T55" s="30">
        <v>0</v>
      </c>
      <c r="U55" s="30">
        <v>0</v>
      </c>
      <c r="V55" s="30">
        <v>0</v>
      </c>
      <c r="W55" s="30">
        <v>0</v>
      </c>
      <c r="X55" s="30">
        <v>0</v>
      </c>
      <c r="Y55" s="30">
        <v>0</v>
      </c>
      <c r="Z55" s="30">
        <v>0</v>
      </c>
      <c r="AA55" s="30">
        <v>0</v>
      </c>
      <c r="AB55" s="30">
        <v>0</v>
      </c>
      <c r="AC55" s="30">
        <v>0</v>
      </c>
      <c r="AD55" s="30">
        <v>0</v>
      </c>
      <c r="AE55" s="30">
        <v>0</v>
      </c>
      <c r="AF55" s="30">
        <v>0</v>
      </c>
      <c r="AG55" s="30">
        <f>2550/2</f>
        <v>1275</v>
      </c>
      <c r="AH55" s="30">
        <v>0</v>
      </c>
      <c r="AI55" s="30">
        <v>0</v>
      </c>
      <c r="AJ55" s="30">
        <v>0</v>
      </c>
      <c r="AK55" s="30">
        <v>0</v>
      </c>
      <c r="AL55" s="30">
        <v>0</v>
      </c>
      <c r="AM55" s="30">
        <v>0</v>
      </c>
      <c r="AN55" s="30">
        <v>0</v>
      </c>
      <c r="AO55" s="30">
        <v>0</v>
      </c>
      <c r="AP55" s="30">
        <v>0</v>
      </c>
      <c r="AQ55" s="30">
        <v>0</v>
      </c>
      <c r="AR55" s="30">
        <v>0</v>
      </c>
      <c r="AS55" s="30">
        <v>0</v>
      </c>
      <c r="AT55" s="30">
        <v>0</v>
      </c>
      <c r="AU55" s="30">
        <v>0</v>
      </c>
      <c r="AV55" s="38">
        <f>SUM(Table14[[#This Row],[Julio]:[Diciembre2]])</f>
        <v>1275</v>
      </c>
      <c r="AW55" s="23"/>
    </row>
    <row r="56" spans="1:49" x14ac:dyDescent="0.4">
      <c r="A56" s="64">
        <v>40</v>
      </c>
      <c r="B56" s="27" t="s">
        <v>156</v>
      </c>
      <c r="C56" s="28">
        <v>42</v>
      </c>
      <c r="D56" s="27" t="s">
        <v>42</v>
      </c>
      <c r="E56" s="61">
        <v>45562</v>
      </c>
      <c r="F56" s="29">
        <v>45592</v>
      </c>
      <c r="G56" s="27" t="s">
        <v>94</v>
      </c>
      <c r="H56" s="27" t="s">
        <v>48</v>
      </c>
      <c r="I56" s="28" t="s">
        <v>53</v>
      </c>
      <c r="J56" s="27" t="s">
        <v>158</v>
      </c>
      <c r="K56" s="28" t="s">
        <v>95</v>
      </c>
      <c r="L56" s="28" t="s">
        <v>156</v>
      </c>
      <c r="M56" s="28">
        <v>1</v>
      </c>
      <c r="N56" s="23">
        <v>1125</v>
      </c>
      <c r="O56" s="27" t="s">
        <v>106</v>
      </c>
      <c r="P56" s="27" t="s">
        <v>50</v>
      </c>
      <c r="Q56" s="27" t="str">
        <f>_xlfn.CONCAT(Table14[[#This Row],[Clase]]," ",Table14[[#This Row],[Tipo]])</f>
        <v>Canto G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0</v>
      </c>
      <c r="Z56" s="30">
        <v>0</v>
      </c>
      <c r="AA56" s="30">
        <v>0</v>
      </c>
      <c r="AB56" s="30">
        <v>0</v>
      </c>
      <c r="AC56" s="30">
        <v>0</v>
      </c>
      <c r="AD56" s="30">
        <v>0</v>
      </c>
      <c r="AE56" s="30">
        <v>0</v>
      </c>
      <c r="AF56" s="30">
        <v>0</v>
      </c>
      <c r="AG56" s="30">
        <f>2550/2</f>
        <v>1275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4">
        <f>SUM(Table14[[#This Row],[Julio]:[Diciembre2]])</f>
        <v>1275</v>
      </c>
      <c r="AW56" s="23"/>
    </row>
    <row r="57" spans="1:49" x14ac:dyDescent="0.4">
      <c r="A57" s="64">
        <v>13</v>
      </c>
      <c r="B57" s="27" t="s">
        <v>111</v>
      </c>
      <c r="C57" s="28">
        <v>70</v>
      </c>
      <c r="D57" s="27" t="s">
        <v>37</v>
      </c>
      <c r="E57" s="61">
        <v>45229</v>
      </c>
      <c r="F57" s="29">
        <v>45260</v>
      </c>
      <c r="G57" s="27" t="s">
        <v>94</v>
      </c>
      <c r="H57" s="27" t="s">
        <v>45</v>
      </c>
      <c r="I57" s="28" t="s">
        <v>53</v>
      </c>
      <c r="J57" s="27" t="s">
        <v>97</v>
      </c>
      <c r="K57" s="28" t="s">
        <v>95</v>
      </c>
      <c r="L57" s="28"/>
      <c r="M57" s="28">
        <v>1</v>
      </c>
      <c r="N57" s="30">
        <v>1275</v>
      </c>
      <c r="O57" s="27" t="s">
        <v>106</v>
      </c>
      <c r="P57" s="27" t="s">
        <v>50</v>
      </c>
      <c r="Q57" s="27" t="str">
        <f>_xlfn.CONCAT(Table14[[#This Row],[Clase]]," ",Table14[[#This Row],[Tipo]])</f>
        <v>Guitarra G</v>
      </c>
      <c r="R57" s="30">
        <v>0</v>
      </c>
      <c r="S57" s="30">
        <v>0</v>
      </c>
      <c r="T57" s="30">
        <v>0</v>
      </c>
      <c r="U57" s="30">
        <v>1275</v>
      </c>
      <c r="V57" s="30">
        <v>0</v>
      </c>
      <c r="W57" s="30">
        <v>0</v>
      </c>
      <c r="X57" s="30">
        <v>0</v>
      </c>
      <c r="Y57" s="30">
        <v>0</v>
      </c>
      <c r="Z57" s="30">
        <v>0</v>
      </c>
      <c r="AA57" s="30">
        <v>0</v>
      </c>
      <c r="AB57" s="30">
        <v>0</v>
      </c>
      <c r="AC57" s="30">
        <v>0</v>
      </c>
      <c r="AD57" s="30">
        <v>0</v>
      </c>
      <c r="AE57" s="30">
        <v>0</v>
      </c>
      <c r="AF57" s="30">
        <v>0</v>
      </c>
      <c r="AG57" s="30">
        <v>0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0</v>
      </c>
      <c r="AP57" s="30">
        <v>0</v>
      </c>
      <c r="AQ57" s="30">
        <v>0</v>
      </c>
      <c r="AR57" s="30">
        <v>0</v>
      </c>
      <c r="AS57" s="30">
        <v>0</v>
      </c>
      <c r="AT57" s="30">
        <v>0</v>
      </c>
      <c r="AU57" s="30">
        <v>0</v>
      </c>
      <c r="AV57" s="4">
        <f>SUM(Table14[[#This Row],[Julio]:[Diciembre2]])</f>
        <v>1275</v>
      </c>
      <c r="AW57" s="30"/>
    </row>
    <row r="58" spans="1:49" x14ac:dyDescent="0.4">
      <c r="A58" s="64">
        <v>48</v>
      </c>
      <c r="B58" s="27" t="s">
        <v>155</v>
      </c>
      <c r="C58" s="28">
        <v>39</v>
      </c>
      <c r="D58" s="27" t="s">
        <v>38</v>
      </c>
      <c r="E58" s="61">
        <v>45572</v>
      </c>
      <c r="F58" s="29">
        <v>45603</v>
      </c>
      <c r="G58" s="27" t="s">
        <v>94</v>
      </c>
      <c r="H58" s="27" t="s">
        <v>46</v>
      </c>
      <c r="I58" s="28" t="s">
        <v>53</v>
      </c>
      <c r="J58" s="27" t="s">
        <v>717</v>
      </c>
      <c r="K58" s="28" t="s">
        <v>95</v>
      </c>
      <c r="L58" s="28" t="s">
        <v>132</v>
      </c>
      <c r="M58" s="28">
        <v>1</v>
      </c>
      <c r="N58" s="23">
        <v>1125</v>
      </c>
      <c r="O58" s="27" t="s">
        <v>106</v>
      </c>
      <c r="P58" s="27" t="s">
        <v>50</v>
      </c>
      <c r="Q58" s="27" t="str">
        <f>_xlfn.CONCAT(Table14[[#This Row],[Clase]]," ",Table14[[#This Row],[Tipo]])</f>
        <v>Batería G</v>
      </c>
      <c r="R58" s="30">
        <v>0</v>
      </c>
      <c r="S58" s="30">
        <v>0</v>
      </c>
      <c r="T58" s="30">
        <v>0</v>
      </c>
      <c r="U58" s="30">
        <v>0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1275</v>
      </c>
      <c r="AH58" s="30">
        <v>1275</v>
      </c>
      <c r="AI58" s="30">
        <v>1275</v>
      </c>
      <c r="AJ58" s="30">
        <v>1275</v>
      </c>
      <c r="AK58" s="30">
        <v>1275</v>
      </c>
      <c r="AL58" s="30">
        <v>1275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8">
        <f>SUM(Table14[[#This Row],[Julio]:[Diciembre2]])</f>
        <v>7650</v>
      </c>
      <c r="AW58" s="23"/>
    </row>
    <row r="59" spans="1:49" x14ac:dyDescent="0.4">
      <c r="A59" s="64">
        <v>6</v>
      </c>
      <c r="B59" s="27" t="s">
        <v>101</v>
      </c>
      <c r="C59" s="28">
        <v>28</v>
      </c>
      <c r="D59" s="27" t="s">
        <v>37</v>
      </c>
      <c r="E59" s="61">
        <v>45177</v>
      </c>
      <c r="F59" s="29">
        <v>45207</v>
      </c>
      <c r="G59" s="27" t="s">
        <v>94</v>
      </c>
      <c r="H59" s="27" t="s">
        <v>45</v>
      </c>
      <c r="I59" s="28" t="s">
        <v>54</v>
      </c>
      <c r="J59" s="27" t="s">
        <v>689</v>
      </c>
      <c r="K59" s="28" t="s">
        <v>95</v>
      </c>
      <c r="L59" s="28"/>
      <c r="M59" s="28">
        <v>1</v>
      </c>
      <c r="N59" s="30">
        <v>2000</v>
      </c>
      <c r="O59" s="27"/>
      <c r="P59" s="27" t="s">
        <v>50</v>
      </c>
      <c r="Q59" s="27" t="str">
        <f>_xlfn.CONCAT(Table14[[#This Row],[Clase]]," ",Table14[[#This Row],[Tipo]])</f>
        <v>Guitarra I</v>
      </c>
      <c r="R59" s="30">
        <v>0</v>
      </c>
      <c r="S59" s="30">
        <v>0</v>
      </c>
      <c r="T59" s="30">
        <v>2000</v>
      </c>
      <c r="U59" s="30">
        <v>0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0</v>
      </c>
      <c r="AB59" s="30">
        <v>0</v>
      </c>
      <c r="AC59" s="30">
        <v>0</v>
      </c>
      <c r="AD59" s="30">
        <v>0</v>
      </c>
      <c r="AE59" s="30">
        <v>0</v>
      </c>
      <c r="AF59" s="30">
        <v>0</v>
      </c>
      <c r="AG59" s="30">
        <v>0</v>
      </c>
      <c r="AH59" s="30">
        <v>0</v>
      </c>
      <c r="AI59" s="30">
        <v>0</v>
      </c>
      <c r="AJ59" s="30">
        <v>0</v>
      </c>
      <c r="AK59" s="30">
        <v>0</v>
      </c>
      <c r="AL59" s="30">
        <v>0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0</v>
      </c>
      <c r="AV59" s="4">
        <f>SUM(Table14[[#This Row],[Julio]:[Diciembre2]])</f>
        <v>2000</v>
      </c>
      <c r="AW59" s="23"/>
    </row>
    <row r="60" spans="1:49" x14ac:dyDescent="0.4">
      <c r="A60" s="64">
        <v>3</v>
      </c>
      <c r="B60" s="27" t="s">
        <v>103</v>
      </c>
      <c r="C60" s="28">
        <v>59</v>
      </c>
      <c r="D60" s="27" t="s">
        <v>37</v>
      </c>
      <c r="E60" s="61">
        <v>45163</v>
      </c>
      <c r="F60" s="29">
        <v>45194</v>
      </c>
      <c r="G60" s="27" t="s">
        <v>94</v>
      </c>
      <c r="H60" s="27" t="s">
        <v>45</v>
      </c>
      <c r="I60" s="28" t="s">
        <v>53</v>
      </c>
      <c r="J60" s="27" t="s">
        <v>50</v>
      </c>
      <c r="K60" s="28" t="s">
        <v>98</v>
      </c>
      <c r="L60" s="28"/>
      <c r="M60" s="28">
        <v>1</v>
      </c>
      <c r="N60" s="30">
        <v>1000</v>
      </c>
      <c r="O60" s="27"/>
      <c r="P60" s="27" t="s">
        <v>50</v>
      </c>
      <c r="Q60" s="27" t="str">
        <f>_xlfn.CONCAT(Table14[[#This Row],[Clase]]," ",Table14[[#This Row],[Tipo]])</f>
        <v>Guitarra G</v>
      </c>
      <c r="R60" s="30">
        <v>0</v>
      </c>
      <c r="S60" s="30">
        <v>1000</v>
      </c>
      <c r="T60" s="30">
        <v>0</v>
      </c>
      <c r="U60" s="30">
        <v>0</v>
      </c>
      <c r="V60" s="30">
        <v>0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0</v>
      </c>
      <c r="AE60" s="30">
        <v>0</v>
      </c>
      <c r="AF60" s="30">
        <v>0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4">
        <f>SUM(Table14[[#This Row],[Julio]:[Diciembre2]])</f>
        <v>1000</v>
      </c>
      <c r="AW60" s="30"/>
    </row>
    <row r="61" spans="1:49" x14ac:dyDescent="0.4">
      <c r="A61" s="53">
        <v>90</v>
      </c>
      <c r="B61" t="s">
        <v>611</v>
      </c>
      <c r="C61" s="1">
        <v>18</v>
      </c>
      <c r="D61" t="s">
        <v>42</v>
      </c>
      <c r="E61" s="60">
        <v>45840</v>
      </c>
      <c r="F61" s="20">
        <v>45871</v>
      </c>
      <c r="G61" t="s">
        <v>94</v>
      </c>
      <c r="H61" t="s">
        <v>48</v>
      </c>
      <c r="I61" s="1" t="s">
        <v>53</v>
      </c>
      <c r="J61" t="s">
        <v>706</v>
      </c>
      <c r="K61" s="1" t="s">
        <v>95</v>
      </c>
      <c r="M61" s="1">
        <v>1</v>
      </c>
      <c r="N61" s="23"/>
      <c r="O61" t="s">
        <v>118</v>
      </c>
      <c r="P61" t="s">
        <v>44</v>
      </c>
      <c r="Q61" t="str">
        <f>_xlfn.CONCAT(Table14[[#This Row],[Clase]]," ",Table14[[#This Row],[Tipo]])</f>
        <v>Canto G</v>
      </c>
      <c r="R61" s="23">
        <v>0</v>
      </c>
      <c r="S61" s="23">
        <v>0</v>
      </c>
      <c r="T61" s="23">
        <v>0</v>
      </c>
      <c r="U61" s="23">
        <v>0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</v>
      </c>
      <c r="AB61" s="23">
        <v>0</v>
      </c>
      <c r="AC61" s="23">
        <v>0</v>
      </c>
      <c r="AD61" s="23">
        <v>0</v>
      </c>
      <c r="AE61" s="23">
        <v>0</v>
      </c>
      <c r="AF61" s="23">
        <v>0</v>
      </c>
      <c r="AG61" s="49">
        <v>0</v>
      </c>
      <c r="AH61" s="23">
        <v>0</v>
      </c>
      <c r="AI61" s="23">
        <v>0</v>
      </c>
      <c r="AJ61" s="23">
        <v>0</v>
      </c>
      <c r="AK61" s="23">
        <v>0</v>
      </c>
      <c r="AL61" s="23">
        <v>0</v>
      </c>
      <c r="AM61" s="23">
        <v>0</v>
      </c>
      <c r="AN61" s="23">
        <v>0</v>
      </c>
      <c r="AO61" s="23">
        <v>0</v>
      </c>
      <c r="AP61" s="23">
        <v>2550</v>
      </c>
      <c r="AQ61" s="23">
        <v>0</v>
      </c>
      <c r="AR61" s="23">
        <v>2050</v>
      </c>
      <c r="AS61" s="23">
        <v>2050</v>
      </c>
      <c r="AT61" s="23">
        <v>2300</v>
      </c>
      <c r="AU61" s="23"/>
      <c r="AV61" s="38">
        <f>SUM(Table14[[#This Row],[Julio]:[Diciembre2]])</f>
        <v>8950</v>
      </c>
      <c r="AW61" s="23" t="s">
        <v>726</v>
      </c>
    </row>
    <row r="62" spans="1:49" x14ac:dyDescent="0.4">
      <c r="A62" s="53">
        <v>91</v>
      </c>
      <c r="B62" t="s">
        <v>611</v>
      </c>
      <c r="C62" s="1">
        <v>18</v>
      </c>
      <c r="D62" t="s">
        <v>40</v>
      </c>
      <c r="E62" s="60">
        <v>45840</v>
      </c>
      <c r="F62" s="20">
        <v>45871</v>
      </c>
      <c r="G62" t="s">
        <v>94</v>
      </c>
      <c r="H62" t="s">
        <v>45</v>
      </c>
      <c r="I62" s="1" t="s">
        <v>53</v>
      </c>
      <c r="J62" t="s">
        <v>706</v>
      </c>
      <c r="K62" s="1" t="s">
        <v>95</v>
      </c>
      <c r="M62" s="1">
        <v>1</v>
      </c>
      <c r="N62" s="23"/>
      <c r="O62" t="s">
        <v>118</v>
      </c>
      <c r="P62" t="s">
        <v>44</v>
      </c>
      <c r="Q62" t="str">
        <f>_xlfn.CONCAT(Table14[[#This Row],[Clase]]," ",Table14[[#This Row],[Tipo]])</f>
        <v>Guitarra G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49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2550</v>
      </c>
      <c r="AQ62" s="23">
        <v>0</v>
      </c>
      <c r="AR62" s="23">
        <v>2050</v>
      </c>
      <c r="AS62" s="23">
        <v>2050</v>
      </c>
      <c r="AT62" s="23">
        <v>2300</v>
      </c>
      <c r="AU62" s="23"/>
      <c r="AV62" s="38">
        <f>SUM(Table14[[#This Row],[Julio]:[Diciembre2]])</f>
        <v>8950</v>
      </c>
      <c r="AW62" s="23" t="s">
        <v>726</v>
      </c>
    </row>
    <row r="63" spans="1:49" x14ac:dyDescent="0.4">
      <c r="A63" s="53">
        <v>108</v>
      </c>
      <c r="B63" t="s">
        <v>686</v>
      </c>
      <c r="C63" s="1">
        <v>36</v>
      </c>
      <c r="D63" t="s">
        <v>649</v>
      </c>
      <c r="E63" s="60">
        <v>45933</v>
      </c>
      <c r="G63" t="s">
        <v>94</v>
      </c>
      <c r="H63" t="s">
        <v>47</v>
      </c>
      <c r="I63" s="1" t="s">
        <v>53</v>
      </c>
      <c r="K63" s="1" t="s">
        <v>95</v>
      </c>
      <c r="M63" s="1">
        <v>1</v>
      </c>
      <c r="N63" s="23"/>
      <c r="O63" t="s">
        <v>118</v>
      </c>
      <c r="P63" t="s">
        <v>44</v>
      </c>
      <c r="Q63" t="str">
        <f>_xlfn.CONCAT(Table14[[#This Row],[Clase]]," ",Table14[[#This Row],[Tipo]])</f>
        <v>Teclado G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23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0</v>
      </c>
      <c r="AQ63" s="23">
        <v>0</v>
      </c>
      <c r="AR63" s="23">
        <v>0</v>
      </c>
      <c r="AS63" s="23">
        <v>1350</v>
      </c>
      <c r="AT63" s="23">
        <v>1350</v>
      </c>
      <c r="AU63" s="23"/>
      <c r="AV63" s="38">
        <f>SUM(Table14[[#This Row],[Julio]:[Diciembre2]])</f>
        <v>2700</v>
      </c>
      <c r="AW63" s="23"/>
    </row>
    <row r="64" spans="1:49" x14ac:dyDescent="0.4">
      <c r="A64" s="53">
        <v>29</v>
      </c>
      <c r="B64" t="s">
        <v>133</v>
      </c>
      <c r="C64" s="1">
        <v>8</v>
      </c>
      <c r="D64" t="s">
        <v>40</v>
      </c>
      <c r="E64" s="60">
        <v>45478</v>
      </c>
      <c r="F64" s="20">
        <v>45509</v>
      </c>
      <c r="G64" t="s">
        <v>94</v>
      </c>
      <c r="H64" t="s">
        <v>45</v>
      </c>
      <c r="I64" s="1" t="s">
        <v>53</v>
      </c>
      <c r="J64" t="s">
        <v>718</v>
      </c>
      <c r="K64" s="1" t="s">
        <v>95</v>
      </c>
      <c r="L64" s="1" t="s">
        <v>134</v>
      </c>
      <c r="M64" s="1">
        <v>1</v>
      </c>
      <c r="N64" s="23">
        <v>1350</v>
      </c>
      <c r="O64" t="s">
        <v>106</v>
      </c>
      <c r="P64" t="s">
        <v>44</v>
      </c>
      <c r="Q64" t="str">
        <f>_xlfn.CONCAT(Table14[[#This Row],[Clase]]," ",Table14[[#This Row],[Tipo]])</f>
        <v>Guitarra G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1350</v>
      </c>
      <c r="AE64" s="23">
        <v>1350</v>
      </c>
      <c r="AF64" s="23">
        <v>1350</v>
      </c>
      <c r="AG64" s="23">
        <v>1350</v>
      </c>
      <c r="AH64" s="23">
        <v>1350</v>
      </c>
      <c r="AI64" s="23">
        <v>1350</v>
      </c>
      <c r="AJ64" s="23">
        <v>1350</v>
      </c>
      <c r="AK64" s="41">
        <v>1350</v>
      </c>
      <c r="AL64" s="41">
        <v>1350</v>
      </c>
      <c r="AM64" s="41">
        <v>1350</v>
      </c>
      <c r="AN64" s="41">
        <v>1350</v>
      </c>
      <c r="AO64" s="41">
        <v>1350</v>
      </c>
      <c r="AP64" s="41">
        <v>1350</v>
      </c>
      <c r="AQ64" s="41">
        <v>1350</v>
      </c>
      <c r="AR64" s="23">
        <v>1350</v>
      </c>
      <c r="AS64" s="23">
        <v>1350</v>
      </c>
      <c r="AT64" s="23">
        <v>1350</v>
      </c>
      <c r="AU64" s="23"/>
      <c r="AV64" s="4">
        <f>SUM(Table14[[#This Row],[Julio]:[Diciembre2]])</f>
        <v>22950</v>
      </c>
      <c r="AW64" s="23"/>
    </row>
    <row r="65" spans="1:49" x14ac:dyDescent="0.4">
      <c r="A65" s="64">
        <v>15</v>
      </c>
      <c r="B65" s="27" t="s">
        <v>114</v>
      </c>
      <c r="C65" s="28">
        <v>11</v>
      </c>
      <c r="D65" s="27" t="s">
        <v>38</v>
      </c>
      <c r="E65" s="61">
        <v>45300</v>
      </c>
      <c r="F65" s="29">
        <v>45331</v>
      </c>
      <c r="G65" s="27" t="s">
        <v>94</v>
      </c>
      <c r="H65" s="27" t="s">
        <v>46</v>
      </c>
      <c r="I65" s="28" t="s">
        <v>53</v>
      </c>
      <c r="J65" s="27" t="s">
        <v>703</v>
      </c>
      <c r="K65" s="28" t="s">
        <v>95</v>
      </c>
      <c r="L65" s="28" t="s">
        <v>115</v>
      </c>
      <c r="M65" s="28">
        <v>1</v>
      </c>
      <c r="N65" s="23">
        <v>1350</v>
      </c>
      <c r="O65" s="27" t="s">
        <v>106</v>
      </c>
      <c r="P65" s="27" t="s">
        <v>50</v>
      </c>
      <c r="Q65" s="27" t="str">
        <f>_xlfn.CONCAT(Table14[[#This Row],[Clase]]," ",Table14[[#This Row],[Tipo]])</f>
        <v>Batería G</v>
      </c>
      <c r="R65" s="30">
        <v>0</v>
      </c>
      <c r="S65" s="30">
        <v>0</v>
      </c>
      <c r="T65" s="30">
        <v>0</v>
      </c>
      <c r="U65" s="30">
        <v>0</v>
      </c>
      <c r="V65" s="30">
        <v>0</v>
      </c>
      <c r="W65" s="30">
        <v>1350</v>
      </c>
      <c r="X65" s="30">
        <v>1350</v>
      </c>
      <c r="Y65" s="30">
        <v>1350</v>
      </c>
      <c r="Z65" s="30">
        <v>1350</v>
      </c>
      <c r="AA65" s="30">
        <v>1350</v>
      </c>
      <c r="AB65" s="30">
        <v>1350</v>
      </c>
      <c r="AC65" s="30">
        <v>1350</v>
      </c>
      <c r="AD65" s="30">
        <v>1350</v>
      </c>
      <c r="AE65" s="30">
        <v>1350</v>
      </c>
      <c r="AF65" s="30">
        <v>1350</v>
      </c>
      <c r="AG65" s="30">
        <v>1350</v>
      </c>
      <c r="AH65" s="30">
        <v>0</v>
      </c>
      <c r="AI65" s="30">
        <v>0</v>
      </c>
      <c r="AJ65" s="30">
        <v>0</v>
      </c>
      <c r="AK65" s="30">
        <v>0</v>
      </c>
      <c r="AL65" s="30">
        <v>0</v>
      </c>
      <c r="AM65" s="30">
        <v>0</v>
      </c>
      <c r="AN65" s="30">
        <v>0</v>
      </c>
      <c r="AO65" s="30">
        <v>0</v>
      </c>
      <c r="AP65" s="30">
        <v>0</v>
      </c>
      <c r="AQ65" s="30">
        <v>0</v>
      </c>
      <c r="AR65" s="30">
        <v>0</v>
      </c>
      <c r="AS65" s="30">
        <v>0</v>
      </c>
      <c r="AT65" s="30">
        <v>0</v>
      </c>
      <c r="AU65" s="30">
        <v>0</v>
      </c>
      <c r="AV65" s="4">
        <f>SUM(Table14[[#This Row],[Julio]:[Diciembre2]])</f>
        <v>14850</v>
      </c>
      <c r="AW65" s="23"/>
    </row>
    <row r="66" spans="1:49" x14ac:dyDescent="0.4">
      <c r="A66" s="64">
        <v>49</v>
      </c>
      <c r="B66" s="27" t="s">
        <v>571</v>
      </c>
      <c r="C66" s="28">
        <v>14</v>
      </c>
      <c r="D66" s="27" t="s">
        <v>38</v>
      </c>
      <c r="E66" s="61">
        <v>45605</v>
      </c>
      <c r="F66" s="29">
        <v>45635</v>
      </c>
      <c r="G66" s="27" t="s">
        <v>94</v>
      </c>
      <c r="H66" s="27" t="s">
        <v>46</v>
      </c>
      <c r="I66" s="28" t="s">
        <v>53</v>
      </c>
      <c r="J66" s="27" t="s">
        <v>701</v>
      </c>
      <c r="K66" s="28" t="s">
        <v>95</v>
      </c>
      <c r="L66" s="28" t="s">
        <v>164</v>
      </c>
      <c r="M66" s="28">
        <v>1</v>
      </c>
      <c r="N66" s="23"/>
      <c r="O66" s="27" t="s">
        <v>118</v>
      </c>
      <c r="P66" s="27" t="s">
        <v>50</v>
      </c>
      <c r="Q66" s="27" t="str">
        <f>_xlfn.CONCAT(Table14[[#This Row],[Clase]]," ",Table14[[#This Row],[Tipo]])</f>
        <v>Batería G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0</v>
      </c>
      <c r="X66" s="30">
        <v>0</v>
      </c>
      <c r="Y66" s="30">
        <v>0</v>
      </c>
      <c r="Z66" s="30">
        <v>0</v>
      </c>
      <c r="AA66" s="30">
        <v>0</v>
      </c>
      <c r="AB66" s="30">
        <v>0</v>
      </c>
      <c r="AC66" s="30">
        <v>0</v>
      </c>
      <c r="AD66" s="30">
        <v>0</v>
      </c>
      <c r="AE66" s="30">
        <v>0</v>
      </c>
      <c r="AF66" s="30">
        <v>0</v>
      </c>
      <c r="AG66" s="30">
        <v>0</v>
      </c>
      <c r="AH66" s="30">
        <v>1350</v>
      </c>
      <c r="AI66" s="30">
        <v>1350</v>
      </c>
      <c r="AJ66" s="30">
        <v>1350</v>
      </c>
      <c r="AK66" s="30">
        <v>1350</v>
      </c>
      <c r="AL66" s="30">
        <v>1350</v>
      </c>
      <c r="AM66" s="30">
        <v>1350</v>
      </c>
      <c r="AN66" s="30">
        <v>1350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8">
        <f>SUM(Table14[[#This Row],[Julio]:[Diciembre2]])</f>
        <v>9450</v>
      </c>
      <c r="AW66" s="23" t="s">
        <v>555</v>
      </c>
    </row>
    <row r="67" spans="1:49" x14ac:dyDescent="0.4">
      <c r="A67" s="53">
        <v>55</v>
      </c>
      <c r="B67" t="s">
        <v>572</v>
      </c>
      <c r="C67" s="1">
        <v>10</v>
      </c>
      <c r="D67" t="s">
        <v>38</v>
      </c>
      <c r="E67" s="60">
        <v>45636</v>
      </c>
      <c r="F67" s="20">
        <v>45683</v>
      </c>
      <c r="G67" t="s">
        <v>94</v>
      </c>
      <c r="H67" t="s">
        <v>46</v>
      </c>
      <c r="I67" s="1" t="s">
        <v>53</v>
      </c>
      <c r="J67" t="s">
        <v>719</v>
      </c>
      <c r="K67" s="1" t="s">
        <v>8</v>
      </c>
      <c r="L67" s="1" t="s">
        <v>162</v>
      </c>
      <c r="M67" s="1">
        <v>1</v>
      </c>
      <c r="N67" s="23"/>
      <c r="O67" t="s">
        <v>106</v>
      </c>
      <c r="P67" t="s">
        <v>44</v>
      </c>
      <c r="Q67" t="str">
        <f>_xlfn.CONCAT(Table14[[#This Row],[Clase]]," ",Table14[[#This Row],[Tipo]])</f>
        <v>Batería G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41">
        <v>1275</v>
      </c>
      <c r="AJ67" s="41">
        <v>1275</v>
      </c>
      <c r="AK67" s="41">
        <v>1275</v>
      </c>
      <c r="AL67" s="41">
        <f>3900/2</f>
        <v>1950</v>
      </c>
      <c r="AM67" s="41">
        <f>2700/2</f>
        <v>1350</v>
      </c>
      <c r="AN67" s="41">
        <v>1275</v>
      </c>
      <c r="AO67" s="41">
        <f>3825/3</f>
        <v>1275</v>
      </c>
      <c r="AP67" s="41">
        <v>1275</v>
      </c>
      <c r="AQ67" s="41">
        <v>1275</v>
      </c>
      <c r="AR67" s="23">
        <v>1275</v>
      </c>
      <c r="AS67" s="23">
        <v>1275</v>
      </c>
      <c r="AT67" s="23">
        <v>1275</v>
      </c>
      <c r="AU67" s="23"/>
      <c r="AV67" s="38">
        <f>SUM(Table14[[#This Row],[Julio]:[Diciembre2]])</f>
        <v>16050</v>
      </c>
      <c r="AW67" s="23"/>
    </row>
    <row r="68" spans="1:49" x14ac:dyDescent="0.4">
      <c r="A68" s="64">
        <v>22</v>
      </c>
      <c r="B68" s="27" t="s">
        <v>123</v>
      </c>
      <c r="C68" s="28">
        <v>6</v>
      </c>
      <c r="D68" s="27" t="s">
        <v>38</v>
      </c>
      <c r="E68" s="61">
        <v>45420</v>
      </c>
      <c r="F68" s="29">
        <v>45451</v>
      </c>
      <c r="G68" s="27" t="s">
        <v>94</v>
      </c>
      <c r="H68" s="27" t="s">
        <v>46</v>
      </c>
      <c r="I68" s="28" t="s">
        <v>53</v>
      </c>
      <c r="J68" s="27" t="s">
        <v>718</v>
      </c>
      <c r="K68" s="28" t="s">
        <v>95</v>
      </c>
      <c r="L68" s="28"/>
      <c r="M68" s="28">
        <v>1</v>
      </c>
      <c r="N68" s="23">
        <v>1200</v>
      </c>
      <c r="O68" s="27"/>
      <c r="P68" s="27" t="s">
        <v>50</v>
      </c>
      <c r="Q68" s="27" t="str">
        <f>_xlfn.CONCAT(Table14[[#This Row],[Clase]]," ",Table14[[#This Row],[Tipo]])</f>
        <v>Batería G</v>
      </c>
      <c r="R68" s="30">
        <v>0</v>
      </c>
      <c r="S68" s="30">
        <v>0</v>
      </c>
      <c r="T68" s="30">
        <v>0</v>
      </c>
      <c r="U68" s="30">
        <v>0</v>
      </c>
      <c r="V68" s="30">
        <v>0</v>
      </c>
      <c r="W68" s="30">
        <v>0</v>
      </c>
      <c r="X68" s="30">
        <v>0</v>
      </c>
      <c r="Y68" s="30">
        <v>0</v>
      </c>
      <c r="Z68" s="30">
        <v>0</v>
      </c>
      <c r="AA68" s="30">
        <v>0</v>
      </c>
      <c r="AB68" s="30">
        <v>1200</v>
      </c>
      <c r="AC68" s="30">
        <v>0</v>
      </c>
      <c r="AD68" s="30">
        <v>0</v>
      </c>
      <c r="AE68" s="30">
        <v>0</v>
      </c>
      <c r="AF68" s="30">
        <v>0</v>
      </c>
      <c r="AG68" s="30">
        <v>0</v>
      </c>
      <c r="AH68" s="30">
        <v>0</v>
      </c>
      <c r="AI68" s="30">
        <v>0</v>
      </c>
      <c r="AJ68" s="30">
        <v>0</v>
      </c>
      <c r="AK68" s="30">
        <v>0</v>
      </c>
      <c r="AL68" s="30">
        <v>0</v>
      </c>
      <c r="AM68" s="30">
        <v>0</v>
      </c>
      <c r="AN68" s="30">
        <v>0</v>
      </c>
      <c r="AO68" s="30">
        <v>0</v>
      </c>
      <c r="AP68" s="30">
        <v>0</v>
      </c>
      <c r="AQ68" s="30">
        <v>0</v>
      </c>
      <c r="AR68" s="30">
        <v>0</v>
      </c>
      <c r="AS68" s="30">
        <v>0</v>
      </c>
      <c r="AT68" s="30">
        <v>0</v>
      </c>
      <c r="AU68" s="30">
        <v>0</v>
      </c>
      <c r="AV68" s="4">
        <f>SUM(Table14[[#This Row],[Julio]:[Diciembre2]])</f>
        <v>1200</v>
      </c>
      <c r="AW68" s="23"/>
    </row>
    <row r="69" spans="1:49" x14ac:dyDescent="0.4">
      <c r="A69" s="64">
        <v>23</v>
      </c>
      <c r="B69" s="27" t="s">
        <v>123</v>
      </c>
      <c r="C69" s="28">
        <v>6</v>
      </c>
      <c r="D69" s="27" t="s">
        <v>39</v>
      </c>
      <c r="E69" s="61">
        <v>45420</v>
      </c>
      <c r="F69" s="29">
        <v>45451</v>
      </c>
      <c r="G69" s="27" t="s">
        <v>94</v>
      </c>
      <c r="H69" s="27" t="s">
        <v>47</v>
      </c>
      <c r="I69" s="28" t="s">
        <v>53</v>
      </c>
      <c r="J69" s="27" t="s">
        <v>723</v>
      </c>
      <c r="K69" s="28" t="s">
        <v>95</v>
      </c>
      <c r="L69" s="28"/>
      <c r="M69" s="28">
        <v>1</v>
      </c>
      <c r="N69" s="30">
        <v>1200</v>
      </c>
      <c r="O69" s="27"/>
      <c r="P69" s="27" t="s">
        <v>50</v>
      </c>
      <c r="Q69" s="27" t="str">
        <f>_xlfn.CONCAT(Table14[[#This Row],[Clase]]," ",Table14[[#This Row],[Tipo]])</f>
        <v>Teclado G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1200</v>
      </c>
      <c r="AC69" s="30">
        <v>0</v>
      </c>
      <c r="AD69" s="30">
        <v>0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4">
        <f>SUM(Table14[[#This Row],[Julio]:[Diciembre2]])</f>
        <v>1200</v>
      </c>
      <c r="AW69" s="23"/>
    </row>
    <row r="70" spans="1:49" x14ac:dyDescent="0.4">
      <c r="A70" s="53">
        <v>44</v>
      </c>
      <c r="B70" t="s">
        <v>151</v>
      </c>
      <c r="C70" s="1">
        <v>11</v>
      </c>
      <c r="D70" t="s">
        <v>38</v>
      </c>
      <c r="E70" s="60">
        <v>45570</v>
      </c>
      <c r="F70" s="20">
        <v>45601</v>
      </c>
      <c r="G70" t="s">
        <v>94</v>
      </c>
      <c r="H70" t="s">
        <v>46</v>
      </c>
      <c r="I70" s="1" t="s">
        <v>53</v>
      </c>
      <c r="J70" t="s">
        <v>707</v>
      </c>
      <c r="K70" s="1" t="s">
        <v>95</v>
      </c>
      <c r="L70" s="1" t="s">
        <v>152</v>
      </c>
      <c r="M70" s="1">
        <v>1</v>
      </c>
      <c r="N70" s="23">
        <v>1350</v>
      </c>
      <c r="O70" t="s">
        <v>106</v>
      </c>
      <c r="P70" t="s">
        <v>44</v>
      </c>
      <c r="Q70" t="str">
        <f>_xlfn.CONCAT(Table14[[#This Row],[Clase]]," ",Table14[[#This Row],[Tipo]])</f>
        <v>Batería G</v>
      </c>
      <c r="R70" s="23">
        <v>0</v>
      </c>
      <c r="S70" s="23">
        <v>0</v>
      </c>
      <c r="T70" s="23">
        <v>0</v>
      </c>
      <c r="U70" s="23">
        <v>0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0</v>
      </c>
      <c r="AB70" s="23">
        <v>0</v>
      </c>
      <c r="AC70" s="23">
        <v>0</v>
      </c>
      <c r="AD70" s="23">
        <v>0</v>
      </c>
      <c r="AE70" s="23">
        <v>0</v>
      </c>
      <c r="AF70" s="23">
        <v>0</v>
      </c>
      <c r="AG70" s="23">
        <v>1350</v>
      </c>
      <c r="AH70" s="23">
        <v>1350</v>
      </c>
      <c r="AI70" s="23">
        <v>1350</v>
      </c>
      <c r="AJ70" s="23">
        <v>1350</v>
      </c>
      <c r="AK70" s="41">
        <v>1350</v>
      </c>
      <c r="AL70" s="41">
        <v>1350</v>
      </c>
      <c r="AM70" s="41">
        <v>1350</v>
      </c>
      <c r="AN70" s="41">
        <v>1350</v>
      </c>
      <c r="AO70" s="41">
        <v>1350</v>
      </c>
      <c r="AP70" s="41">
        <v>1350</v>
      </c>
      <c r="AQ70" s="41">
        <v>1350</v>
      </c>
      <c r="AR70" s="23">
        <v>1350</v>
      </c>
      <c r="AS70" s="23">
        <v>1350</v>
      </c>
      <c r="AT70" s="23">
        <v>1350</v>
      </c>
      <c r="AU70" s="23"/>
      <c r="AV70" s="4">
        <f>SUM(Table14[[#This Row],[Julio]:[Diciembre2]])</f>
        <v>18900</v>
      </c>
      <c r="AW70" s="23"/>
    </row>
    <row r="71" spans="1:49" s="31" customFormat="1" x14ac:dyDescent="0.4">
      <c r="A71" s="64">
        <v>37</v>
      </c>
      <c r="B71" s="27" t="s">
        <v>140</v>
      </c>
      <c r="C71" s="28">
        <v>40</v>
      </c>
      <c r="D71" s="27" t="s">
        <v>42</v>
      </c>
      <c r="E71" s="61">
        <v>45540</v>
      </c>
      <c r="F71" s="29">
        <v>45935</v>
      </c>
      <c r="G71" s="27" t="s">
        <v>94</v>
      </c>
      <c r="H71" s="27" t="s">
        <v>48</v>
      </c>
      <c r="I71" s="28" t="s">
        <v>53</v>
      </c>
      <c r="J71" s="27" t="s">
        <v>715</v>
      </c>
      <c r="K71" s="28" t="s">
        <v>95</v>
      </c>
      <c r="L71" s="27" t="s">
        <v>140</v>
      </c>
      <c r="M71" s="28">
        <v>1</v>
      </c>
      <c r="N71" s="23">
        <v>1350</v>
      </c>
      <c r="O71" s="27" t="s">
        <v>106</v>
      </c>
      <c r="P71" s="27" t="s">
        <v>50</v>
      </c>
      <c r="Q71" s="27" t="str">
        <f>_xlfn.CONCAT(Table14[[#This Row],[Clase]]," ",Table14[[#This Row],[Tipo]])</f>
        <v>Canto G</v>
      </c>
      <c r="R71" s="30">
        <v>0</v>
      </c>
      <c r="S71" s="30">
        <v>0</v>
      </c>
      <c r="T71" s="30">
        <v>0</v>
      </c>
      <c r="U71" s="30">
        <v>0</v>
      </c>
      <c r="V71" s="30">
        <v>0</v>
      </c>
      <c r="W71" s="30">
        <v>0</v>
      </c>
      <c r="X71" s="30">
        <v>0</v>
      </c>
      <c r="Y71" s="30">
        <v>0</v>
      </c>
      <c r="Z71" s="30">
        <v>0</v>
      </c>
      <c r="AA71" s="30">
        <v>0</v>
      </c>
      <c r="AB71" s="30">
        <v>0</v>
      </c>
      <c r="AC71" s="30">
        <v>0</v>
      </c>
      <c r="AD71" s="30">
        <v>0</v>
      </c>
      <c r="AE71" s="30">
        <v>1350</v>
      </c>
      <c r="AF71" s="30">
        <v>1350</v>
      </c>
      <c r="AG71" s="30">
        <v>1350</v>
      </c>
      <c r="AH71" s="30">
        <v>1350</v>
      </c>
      <c r="AI71" s="30">
        <v>1350</v>
      </c>
      <c r="AJ71" s="30">
        <v>1350</v>
      </c>
      <c r="AK71" s="30">
        <v>1350</v>
      </c>
      <c r="AL71" s="30">
        <v>1350</v>
      </c>
      <c r="AM71" s="30">
        <v>1350</v>
      </c>
      <c r="AN71" s="30">
        <v>1350</v>
      </c>
      <c r="AO71" s="30">
        <v>1350</v>
      </c>
      <c r="AP71" s="30">
        <v>0</v>
      </c>
      <c r="AQ71" s="30">
        <v>0</v>
      </c>
      <c r="AR71" s="30">
        <v>0</v>
      </c>
      <c r="AS71" s="30">
        <v>0</v>
      </c>
      <c r="AT71" s="30">
        <v>0</v>
      </c>
      <c r="AU71" s="30">
        <v>0</v>
      </c>
      <c r="AV71" s="4">
        <f>SUM(Table14[[#This Row],[Julio]:[Diciembre2]])</f>
        <v>14850</v>
      </c>
      <c r="AW71" s="23"/>
    </row>
    <row r="72" spans="1:49" x14ac:dyDescent="0.4">
      <c r="A72" s="64">
        <v>5</v>
      </c>
      <c r="B72" s="27" t="s">
        <v>100</v>
      </c>
      <c r="C72" s="28">
        <v>11</v>
      </c>
      <c r="D72" s="27" t="s">
        <v>39</v>
      </c>
      <c r="E72" s="61">
        <v>45170</v>
      </c>
      <c r="F72" s="29">
        <v>45200</v>
      </c>
      <c r="G72" s="27" t="s">
        <v>94</v>
      </c>
      <c r="H72" s="27" t="s">
        <v>47</v>
      </c>
      <c r="I72" s="28" t="s">
        <v>53</v>
      </c>
      <c r="J72" s="27" t="s">
        <v>720</v>
      </c>
      <c r="K72" s="28" t="s">
        <v>95</v>
      </c>
      <c r="L72" s="28"/>
      <c r="M72" s="28">
        <v>1</v>
      </c>
      <c r="N72" s="23">
        <v>1500</v>
      </c>
      <c r="O72" s="27" t="s">
        <v>118</v>
      </c>
      <c r="P72" s="27" t="s">
        <v>50</v>
      </c>
      <c r="Q72" s="27" t="str">
        <f>_xlfn.CONCAT(Table14[[#This Row],[Clase]]," ",Table14[[#This Row],[Tipo]])</f>
        <v>Teclado G</v>
      </c>
      <c r="R72" s="30">
        <v>0</v>
      </c>
      <c r="S72" s="30">
        <v>0</v>
      </c>
      <c r="T72" s="30">
        <v>2700</v>
      </c>
      <c r="U72" s="30">
        <v>2700</v>
      </c>
      <c r="V72" s="30">
        <v>2700</v>
      </c>
      <c r="W72" s="30">
        <v>1500</v>
      </c>
      <c r="X72" s="30">
        <v>1500</v>
      </c>
      <c r="Y72" s="30">
        <v>1500</v>
      </c>
      <c r="Z72" s="30">
        <v>1500</v>
      </c>
      <c r="AA72" s="30">
        <v>0</v>
      </c>
      <c r="AB72" s="30">
        <v>1500</v>
      </c>
      <c r="AC72" s="30">
        <v>0</v>
      </c>
      <c r="AD72" s="30">
        <v>2250</v>
      </c>
      <c r="AE72" s="30">
        <v>2250</v>
      </c>
      <c r="AF72" s="30">
        <v>1500</v>
      </c>
      <c r="AG72" s="30">
        <v>1500</v>
      </c>
      <c r="AH72" s="30">
        <v>1500</v>
      </c>
      <c r="AI72" s="30">
        <v>1500</v>
      </c>
      <c r="AJ72" s="30">
        <v>1500</v>
      </c>
      <c r="AK72" s="30">
        <v>1500</v>
      </c>
      <c r="AL72" s="30">
        <v>1500</v>
      </c>
      <c r="AM72" s="30">
        <v>1500</v>
      </c>
      <c r="AN72" s="30">
        <v>1500</v>
      </c>
      <c r="AO72" s="30">
        <v>1500</v>
      </c>
      <c r="AP72" s="30">
        <v>1500</v>
      </c>
      <c r="AQ72" s="30">
        <v>0</v>
      </c>
      <c r="AR72" s="30">
        <v>0</v>
      </c>
      <c r="AS72" s="30">
        <v>0</v>
      </c>
      <c r="AT72" s="30">
        <v>0</v>
      </c>
      <c r="AU72" s="30">
        <v>0</v>
      </c>
      <c r="AV72" s="4">
        <f>SUM(Table14[[#This Row],[Julio]:[Diciembre2]])</f>
        <v>36600</v>
      </c>
      <c r="AW72" s="23" t="s">
        <v>653</v>
      </c>
    </row>
    <row r="73" spans="1:49" x14ac:dyDescent="0.4">
      <c r="A73" s="64">
        <v>46</v>
      </c>
      <c r="B73" s="27" t="s">
        <v>149</v>
      </c>
      <c r="C73" s="28">
        <v>5</v>
      </c>
      <c r="D73" s="27" t="s">
        <v>38</v>
      </c>
      <c r="E73" s="61">
        <v>45570</v>
      </c>
      <c r="F73" s="29">
        <v>45755</v>
      </c>
      <c r="G73" s="27" t="s">
        <v>94</v>
      </c>
      <c r="H73" s="27" t="s">
        <v>46</v>
      </c>
      <c r="I73" s="28" t="s">
        <v>53</v>
      </c>
      <c r="J73" s="27" t="s">
        <v>705</v>
      </c>
      <c r="K73" s="28" t="s">
        <v>95</v>
      </c>
      <c r="L73" s="28" t="s">
        <v>150</v>
      </c>
      <c r="M73" s="28">
        <v>1</v>
      </c>
      <c r="N73" s="23">
        <v>1350</v>
      </c>
      <c r="O73" s="27" t="s">
        <v>106</v>
      </c>
      <c r="P73" s="27" t="s">
        <v>50</v>
      </c>
      <c r="Q73" s="27" t="str">
        <f>_xlfn.CONCAT(Table14[[#This Row],[Clase]]," ",Table14[[#This Row],[Tipo]])</f>
        <v>Batería G</v>
      </c>
      <c r="R73" s="30">
        <v>0</v>
      </c>
      <c r="S73" s="30">
        <v>0</v>
      </c>
      <c r="T73" s="30">
        <v>0</v>
      </c>
      <c r="U73" s="30">
        <v>0</v>
      </c>
      <c r="V73" s="30">
        <v>0</v>
      </c>
      <c r="W73" s="30">
        <v>0</v>
      </c>
      <c r="X73" s="30">
        <v>0</v>
      </c>
      <c r="Y73" s="30">
        <v>0</v>
      </c>
      <c r="Z73" s="30">
        <v>0</v>
      </c>
      <c r="AA73" s="30">
        <v>0</v>
      </c>
      <c r="AB73" s="30">
        <v>0</v>
      </c>
      <c r="AC73" s="30">
        <v>0</v>
      </c>
      <c r="AD73" s="30">
        <v>0</v>
      </c>
      <c r="AE73" s="30">
        <v>0</v>
      </c>
      <c r="AF73" s="30">
        <v>0</v>
      </c>
      <c r="AG73" s="30">
        <v>1350</v>
      </c>
      <c r="AH73" s="30">
        <v>1350</v>
      </c>
      <c r="AI73" s="30">
        <v>1350</v>
      </c>
      <c r="AJ73" s="30">
        <v>1350</v>
      </c>
      <c r="AK73" s="30">
        <v>1350</v>
      </c>
      <c r="AL73" s="30">
        <v>1350</v>
      </c>
      <c r="AM73" s="30">
        <v>1350</v>
      </c>
      <c r="AN73" s="30">
        <v>0</v>
      </c>
      <c r="AO73" s="30">
        <v>0</v>
      </c>
      <c r="AP73" s="30">
        <v>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4">
        <f>SUM(Table14[[#This Row],[Julio]:[Diciembre2]])</f>
        <v>9450</v>
      </c>
      <c r="AW73" s="23"/>
    </row>
    <row r="74" spans="1:49" x14ac:dyDescent="0.4">
      <c r="A74" s="64">
        <v>51</v>
      </c>
      <c r="B74" s="27" t="s">
        <v>161</v>
      </c>
      <c r="C74" s="28">
        <v>40</v>
      </c>
      <c r="D74" s="27" t="s">
        <v>42</v>
      </c>
      <c r="E74" s="61">
        <v>45621</v>
      </c>
      <c r="F74" s="29">
        <v>45651</v>
      </c>
      <c r="G74" s="27" t="s">
        <v>94</v>
      </c>
      <c r="H74" s="27" t="s">
        <v>48</v>
      </c>
      <c r="I74" s="28" t="s">
        <v>53</v>
      </c>
      <c r="J74" s="27" t="s">
        <v>721</v>
      </c>
      <c r="K74" s="28" t="s">
        <v>95</v>
      </c>
      <c r="L74" s="28" t="s">
        <v>161</v>
      </c>
      <c r="M74" s="28">
        <v>1</v>
      </c>
      <c r="N74" s="23"/>
      <c r="O74" s="27" t="s">
        <v>106</v>
      </c>
      <c r="P74" s="27" t="s">
        <v>50</v>
      </c>
      <c r="Q74" s="27" t="str">
        <f>_xlfn.CONCAT(Table14[[#This Row],[Clase]]," ",Table14[[#This Row],[Tipo]])</f>
        <v>Canto G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0</v>
      </c>
      <c r="AH74" s="30">
        <v>1275</v>
      </c>
      <c r="AI74" s="30">
        <v>0</v>
      </c>
      <c r="AJ74" s="30">
        <v>0</v>
      </c>
      <c r="AK74" s="30">
        <v>0</v>
      </c>
      <c r="AL74" s="30">
        <v>0</v>
      </c>
      <c r="AM74" s="30">
        <v>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0</v>
      </c>
      <c r="AV74" s="38">
        <f>SUM(Table14[[#This Row],[Julio]:[Diciembre2]])</f>
        <v>1275</v>
      </c>
      <c r="AW74" s="23"/>
    </row>
    <row r="75" spans="1:49" x14ac:dyDescent="0.4">
      <c r="A75" s="64">
        <v>52</v>
      </c>
      <c r="B75" s="27" t="s">
        <v>161</v>
      </c>
      <c r="C75" s="28">
        <v>40</v>
      </c>
      <c r="D75" s="27" t="s">
        <v>40</v>
      </c>
      <c r="E75" s="61">
        <v>45621</v>
      </c>
      <c r="F75" s="29">
        <v>45651</v>
      </c>
      <c r="G75" s="27" t="s">
        <v>94</v>
      </c>
      <c r="H75" s="27" t="s">
        <v>45</v>
      </c>
      <c r="I75" s="28" t="s">
        <v>53</v>
      </c>
      <c r="J75" s="27" t="s">
        <v>704</v>
      </c>
      <c r="K75" s="28" t="s">
        <v>95</v>
      </c>
      <c r="L75" s="28" t="s">
        <v>161</v>
      </c>
      <c r="M75" s="28">
        <v>1</v>
      </c>
      <c r="N75" s="23"/>
      <c r="O75" s="27" t="s">
        <v>106</v>
      </c>
      <c r="P75" s="27" t="s">
        <v>50</v>
      </c>
      <c r="Q75" s="27" t="str">
        <f>_xlfn.CONCAT(Table14[[#This Row],[Clase]]," ",Table14[[#This Row],[Tipo]])</f>
        <v>Guitarra G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1275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0</v>
      </c>
      <c r="AV75" s="38">
        <f>SUM(Table14[[#This Row],[Julio]:[Diciembre2]])</f>
        <v>1275</v>
      </c>
      <c r="AW75" s="23"/>
    </row>
    <row r="76" spans="1:49" x14ac:dyDescent="0.4">
      <c r="A76" s="53">
        <v>66</v>
      </c>
      <c r="B76" t="s">
        <v>530</v>
      </c>
      <c r="C76" s="1">
        <v>15</v>
      </c>
      <c r="D76" t="s">
        <v>41</v>
      </c>
      <c r="E76" s="60">
        <v>45741</v>
      </c>
      <c r="F76" s="20">
        <v>45772</v>
      </c>
      <c r="G76" t="s">
        <v>94</v>
      </c>
      <c r="H76" t="s">
        <v>49</v>
      </c>
      <c r="I76" s="1" t="s">
        <v>53</v>
      </c>
      <c r="J76" t="s">
        <v>707</v>
      </c>
      <c r="K76" s="1" t="s">
        <v>98</v>
      </c>
      <c r="L76" s="1" t="s">
        <v>541</v>
      </c>
      <c r="M76" s="1">
        <v>1</v>
      </c>
      <c r="N76" s="23"/>
      <c r="O76" t="s">
        <v>118</v>
      </c>
      <c r="P76" t="s">
        <v>44</v>
      </c>
      <c r="Q76" t="str">
        <f>_xlfn.CONCAT(Table14[[#This Row],[Clase]]," ",Table14[[#This Row],[Tipo]])</f>
        <v>Bajo G</v>
      </c>
      <c r="R76" s="23">
        <v>0</v>
      </c>
      <c r="S76" s="23">
        <v>0</v>
      </c>
      <c r="T76" s="23">
        <v>0</v>
      </c>
      <c r="U76" s="23">
        <v>0</v>
      </c>
      <c r="V76" s="23">
        <v>0</v>
      </c>
      <c r="W76" s="23">
        <v>0</v>
      </c>
      <c r="X76" s="23">
        <v>0</v>
      </c>
      <c r="Y76" s="23">
        <v>0</v>
      </c>
      <c r="Z76" s="23">
        <v>0</v>
      </c>
      <c r="AA76" s="23">
        <v>0</v>
      </c>
      <c r="AB76" s="23">
        <v>0</v>
      </c>
      <c r="AC76" s="23">
        <v>0</v>
      </c>
      <c r="AD76" s="23">
        <v>0</v>
      </c>
      <c r="AE76" s="23">
        <v>0</v>
      </c>
      <c r="AF76" s="23">
        <v>0</v>
      </c>
      <c r="AG76" s="23">
        <v>0</v>
      </c>
      <c r="AH76" s="23">
        <v>0</v>
      </c>
      <c r="AI76" s="23">
        <v>0</v>
      </c>
      <c r="AJ76" s="23">
        <v>0</v>
      </c>
      <c r="AK76" s="23">
        <v>0</v>
      </c>
      <c r="AL76" s="23">
        <v>500</v>
      </c>
      <c r="AM76" s="23">
        <v>1350</v>
      </c>
      <c r="AN76" s="23">
        <v>1350</v>
      </c>
      <c r="AO76" s="23">
        <v>1350</v>
      </c>
      <c r="AP76" s="23">
        <v>1350</v>
      </c>
      <c r="AQ76" s="23">
        <v>1350</v>
      </c>
      <c r="AR76" s="23">
        <v>1350</v>
      </c>
      <c r="AS76" s="23">
        <v>1350</v>
      </c>
      <c r="AT76" s="23">
        <v>1350</v>
      </c>
      <c r="AU76" s="23"/>
      <c r="AV76" s="38">
        <f>SUM(Table14[[#This Row],[Julio]:[Diciembre2]])</f>
        <v>11300</v>
      </c>
      <c r="AW76" s="23"/>
    </row>
    <row r="77" spans="1:49" x14ac:dyDescent="0.4">
      <c r="A77" s="64">
        <v>86</v>
      </c>
      <c r="B77" s="27" t="s">
        <v>567</v>
      </c>
      <c r="C77" s="28">
        <v>16</v>
      </c>
      <c r="D77" s="27" t="s">
        <v>39</v>
      </c>
      <c r="E77" s="61">
        <v>45833</v>
      </c>
      <c r="F77" s="29">
        <v>45863</v>
      </c>
      <c r="G77" s="27" t="s">
        <v>94</v>
      </c>
      <c r="H77" s="27" t="s">
        <v>47</v>
      </c>
      <c r="I77" s="28" t="s">
        <v>53</v>
      </c>
      <c r="J77" s="27" t="s">
        <v>708</v>
      </c>
      <c r="K77" s="28" t="s">
        <v>95</v>
      </c>
      <c r="L77" s="27" t="s">
        <v>612</v>
      </c>
      <c r="M77" s="28">
        <v>1</v>
      </c>
      <c r="N77" s="23"/>
      <c r="O77" s="27" t="s">
        <v>118</v>
      </c>
      <c r="P77" s="27" t="s">
        <v>50</v>
      </c>
      <c r="Q77" s="27" t="str">
        <f>_xlfn.CONCAT(Table14[[#This Row],[Clase]]," ",Table14[[#This Row],[Tipo]])</f>
        <v>Teclado G</v>
      </c>
      <c r="R77" s="30">
        <v>0</v>
      </c>
      <c r="S77" s="30">
        <v>0</v>
      </c>
      <c r="T77" s="30">
        <v>0</v>
      </c>
      <c r="U77" s="30">
        <v>0</v>
      </c>
      <c r="V77" s="30">
        <v>0</v>
      </c>
      <c r="W77" s="30">
        <v>0</v>
      </c>
      <c r="X77" s="30">
        <v>0</v>
      </c>
      <c r="Y77" s="30">
        <v>0</v>
      </c>
      <c r="Z77" s="30">
        <v>0</v>
      </c>
      <c r="AA77" s="30">
        <v>0</v>
      </c>
      <c r="AB77" s="30">
        <v>0</v>
      </c>
      <c r="AC77" s="30">
        <v>0</v>
      </c>
      <c r="AD77" s="30">
        <v>0</v>
      </c>
      <c r="AE77" s="30">
        <v>0</v>
      </c>
      <c r="AF77" s="30">
        <v>0</v>
      </c>
      <c r="AG77" s="30">
        <v>0</v>
      </c>
      <c r="AH77" s="30">
        <v>0</v>
      </c>
      <c r="AI77" s="30">
        <v>0</v>
      </c>
      <c r="AJ77" s="30">
        <v>0</v>
      </c>
      <c r="AK77" s="30">
        <v>0</v>
      </c>
      <c r="AL77" s="30">
        <v>0</v>
      </c>
      <c r="AM77" s="30">
        <v>0</v>
      </c>
      <c r="AN77" s="30">
        <v>0</v>
      </c>
      <c r="AO77" s="30">
        <v>0</v>
      </c>
      <c r="AP77" s="30">
        <v>1275</v>
      </c>
      <c r="AQ77" s="30">
        <v>1275</v>
      </c>
      <c r="AR77" s="30">
        <v>1275</v>
      </c>
      <c r="AS77" s="30">
        <v>0</v>
      </c>
      <c r="AT77" s="23"/>
      <c r="AU77" s="23"/>
      <c r="AV77" s="38">
        <f>SUM(Table14[[#This Row],[Julio]:[Diciembre2]])</f>
        <v>3825</v>
      </c>
      <c r="AW77" s="23"/>
    </row>
    <row r="78" spans="1:49" x14ac:dyDescent="0.4">
      <c r="A78" s="64">
        <v>25</v>
      </c>
      <c r="B78" s="27" t="s">
        <v>127</v>
      </c>
      <c r="C78" s="28">
        <v>16</v>
      </c>
      <c r="D78" s="27" t="s">
        <v>37</v>
      </c>
      <c r="E78" s="61">
        <v>45444</v>
      </c>
      <c r="F78" s="29">
        <v>45474</v>
      </c>
      <c r="G78" s="27" t="s">
        <v>94</v>
      </c>
      <c r="H78" s="27" t="s">
        <v>45</v>
      </c>
      <c r="I78" s="28" t="s">
        <v>53</v>
      </c>
      <c r="J78" s="27" t="s">
        <v>696</v>
      </c>
      <c r="K78" s="28" t="s">
        <v>8</v>
      </c>
      <c r="L78" s="28" t="s">
        <v>128</v>
      </c>
      <c r="M78" s="28">
        <v>1</v>
      </c>
      <c r="N78" s="23">
        <v>1350</v>
      </c>
      <c r="O78" s="27" t="s">
        <v>106</v>
      </c>
      <c r="P78" s="27" t="s">
        <v>50</v>
      </c>
      <c r="Q78" s="27" t="str">
        <f>_xlfn.CONCAT(Table14[[#This Row],[Clase]]," ",Table14[[#This Row],[Tipo]])</f>
        <v>Guitarra G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1350</v>
      </c>
      <c r="AD78" s="30">
        <v>1350</v>
      </c>
      <c r="AE78" s="30">
        <v>1350</v>
      </c>
      <c r="AF78" s="30">
        <v>1350</v>
      </c>
      <c r="AG78" s="30">
        <v>1350</v>
      </c>
      <c r="AH78" s="30">
        <v>1380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0</v>
      </c>
      <c r="AQ78" s="30">
        <v>0</v>
      </c>
      <c r="AR78" s="30">
        <v>0</v>
      </c>
      <c r="AS78" s="30">
        <v>0</v>
      </c>
      <c r="AT78" s="30">
        <v>0</v>
      </c>
      <c r="AU78" s="30">
        <v>0</v>
      </c>
      <c r="AV78" s="4">
        <f>SUM(Table14[[#This Row],[Julio]:[Diciembre2]])</f>
        <v>8130</v>
      </c>
      <c r="AW78" s="23"/>
    </row>
    <row r="79" spans="1:49" x14ac:dyDescent="0.4">
      <c r="A79" s="53">
        <v>28</v>
      </c>
      <c r="B79" t="s">
        <v>570</v>
      </c>
      <c r="C79" s="1">
        <v>15</v>
      </c>
      <c r="D79" t="s">
        <v>40</v>
      </c>
      <c r="E79" s="60">
        <v>45477</v>
      </c>
      <c r="F79" s="20">
        <v>45760</v>
      </c>
      <c r="G79" t="s">
        <v>94</v>
      </c>
      <c r="H79" t="s">
        <v>45</v>
      </c>
      <c r="I79" s="1" t="s">
        <v>53</v>
      </c>
      <c r="J79" t="s">
        <v>697</v>
      </c>
      <c r="K79" s="1" t="s">
        <v>95</v>
      </c>
      <c r="L79" s="1" t="s">
        <v>137</v>
      </c>
      <c r="M79" s="1">
        <v>1</v>
      </c>
      <c r="N79" s="23">
        <v>1350</v>
      </c>
      <c r="O79" t="s">
        <v>106</v>
      </c>
      <c r="P79" t="s">
        <v>44</v>
      </c>
      <c r="Q79" t="str">
        <f>_xlfn.CONCAT(Table14[[#This Row],[Clase]]," ",Table14[[#This Row],[Tipo]])</f>
        <v>Guitarra G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v>0</v>
      </c>
      <c r="X79" s="23">
        <v>0</v>
      </c>
      <c r="Y79" s="23">
        <v>0</v>
      </c>
      <c r="Z79" s="23">
        <v>0</v>
      </c>
      <c r="AA79" s="23">
        <v>0</v>
      </c>
      <c r="AB79" s="23">
        <v>0</v>
      </c>
      <c r="AC79" s="23">
        <v>0</v>
      </c>
      <c r="AD79" s="23">
        <v>1350</v>
      </c>
      <c r="AE79" s="23">
        <v>1350</v>
      </c>
      <c r="AF79" s="23">
        <v>1350</v>
      </c>
      <c r="AG79" s="23">
        <v>1350</v>
      </c>
      <c r="AH79" s="23">
        <v>1350</v>
      </c>
      <c r="AI79" s="23">
        <v>1350</v>
      </c>
      <c r="AJ79" s="23">
        <v>1350</v>
      </c>
      <c r="AK79" s="41">
        <v>1350</v>
      </c>
      <c r="AL79" s="41">
        <v>1350</v>
      </c>
      <c r="AM79" s="41">
        <v>1350</v>
      </c>
      <c r="AN79" s="41">
        <v>1350</v>
      </c>
      <c r="AO79" s="41">
        <v>1350</v>
      </c>
      <c r="AP79" s="41">
        <v>1350</v>
      </c>
      <c r="AQ79" s="41">
        <v>1350</v>
      </c>
      <c r="AR79" s="23">
        <v>1350</v>
      </c>
      <c r="AS79" s="23">
        <v>1350</v>
      </c>
      <c r="AT79" s="23">
        <v>1350</v>
      </c>
      <c r="AU79" s="23"/>
      <c r="AV79" s="4">
        <f>SUM(Table14[[#This Row],[Julio]:[Diciembre2]])</f>
        <v>22950</v>
      </c>
      <c r="AW79" s="23"/>
    </row>
    <row r="80" spans="1:49" x14ac:dyDescent="0.4">
      <c r="A80" s="64">
        <v>4</v>
      </c>
      <c r="B80" s="27" t="s">
        <v>99</v>
      </c>
      <c r="C80" s="28">
        <v>62</v>
      </c>
      <c r="D80" s="27" t="s">
        <v>37</v>
      </c>
      <c r="E80" s="61">
        <v>45169</v>
      </c>
      <c r="F80" s="29">
        <v>45199</v>
      </c>
      <c r="G80" s="27" t="s">
        <v>94</v>
      </c>
      <c r="H80" s="27" t="s">
        <v>45</v>
      </c>
      <c r="I80" s="28" t="s">
        <v>53</v>
      </c>
      <c r="J80" s="27" t="s">
        <v>709</v>
      </c>
      <c r="K80" s="28" t="s">
        <v>95</v>
      </c>
      <c r="L80" s="28"/>
      <c r="M80" s="28">
        <v>1</v>
      </c>
      <c r="N80" s="30">
        <v>1400</v>
      </c>
      <c r="O80" s="27"/>
      <c r="P80" s="27" t="s">
        <v>50</v>
      </c>
      <c r="Q80" s="27" t="str">
        <f>_xlfn.CONCAT(Table14[[#This Row],[Clase]]," ",Table14[[#This Row],[Tipo]])</f>
        <v>Guitarra G</v>
      </c>
      <c r="R80" s="30">
        <v>0</v>
      </c>
      <c r="S80" s="30">
        <v>1400</v>
      </c>
      <c r="T80" s="30">
        <v>1500</v>
      </c>
      <c r="U80" s="30">
        <v>0</v>
      </c>
      <c r="V80" s="30">
        <v>0</v>
      </c>
      <c r="W80" s="30">
        <v>0</v>
      </c>
      <c r="X80" s="30">
        <v>0</v>
      </c>
      <c r="Y80" s="30">
        <v>0</v>
      </c>
      <c r="Z80" s="30">
        <v>0</v>
      </c>
      <c r="AA80" s="30">
        <v>0</v>
      </c>
      <c r="AB80" s="30">
        <v>0</v>
      </c>
      <c r="AC80" s="30">
        <v>0</v>
      </c>
      <c r="AD80" s="30">
        <v>0</v>
      </c>
      <c r="AE80" s="30">
        <v>0</v>
      </c>
      <c r="AF80" s="30">
        <v>0</v>
      </c>
      <c r="AG80" s="30">
        <v>0</v>
      </c>
      <c r="AH80" s="30">
        <v>0</v>
      </c>
      <c r="AI80" s="30">
        <v>0</v>
      </c>
      <c r="AJ80" s="30">
        <v>0</v>
      </c>
      <c r="AK80" s="30">
        <v>0</v>
      </c>
      <c r="AL80" s="30">
        <v>0</v>
      </c>
      <c r="AM80" s="30">
        <v>0</v>
      </c>
      <c r="AN80" s="30">
        <v>0</v>
      </c>
      <c r="AO80" s="30">
        <v>0</v>
      </c>
      <c r="AP80" s="30">
        <v>0</v>
      </c>
      <c r="AQ80" s="30">
        <v>0</v>
      </c>
      <c r="AR80" s="30">
        <v>0</v>
      </c>
      <c r="AS80" s="30">
        <v>0</v>
      </c>
      <c r="AT80" s="30">
        <v>0</v>
      </c>
      <c r="AU80" s="30">
        <v>0</v>
      </c>
      <c r="AV80" s="4">
        <f>SUM(Table14[[#This Row],[Julio]:[Diciembre2]])</f>
        <v>2900</v>
      </c>
      <c r="AW80" s="30"/>
    </row>
    <row r="81" spans="1:49" x14ac:dyDescent="0.4">
      <c r="A81" s="64">
        <v>78</v>
      </c>
      <c r="B81" s="27" t="s">
        <v>568</v>
      </c>
      <c r="C81" s="28"/>
      <c r="D81" s="27" t="s">
        <v>39</v>
      </c>
      <c r="E81" s="61">
        <v>45808</v>
      </c>
      <c r="F81" s="29">
        <v>45838</v>
      </c>
      <c r="G81" s="27" t="s">
        <v>94</v>
      </c>
      <c r="H81" s="27" t="s">
        <v>47</v>
      </c>
      <c r="I81" s="28" t="s">
        <v>53</v>
      </c>
      <c r="J81" s="27"/>
      <c r="K81" s="28" t="s">
        <v>98</v>
      </c>
      <c r="L81" s="28" t="s">
        <v>586</v>
      </c>
      <c r="M81" s="28">
        <v>1</v>
      </c>
      <c r="N81" s="23"/>
      <c r="O81" s="27" t="s">
        <v>118</v>
      </c>
      <c r="P81" s="27" t="s">
        <v>50</v>
      </c>
      <c r="Q81" s="27" t="str">
        <f>_xlfn.CONCAT(Table14[[#This Row],[Clase]]," ",Table14[[#This Row],[Tipo]])</f>
        <v>Teclado G</v>
      </c>
      <c r="R81" s="30">
        <v>0</v>
      </c>
      <c r="S81" s="30">
        <v>0</v>
      </c>
      <c r="T81" s="30">
        <v>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f>2550/2</f>
        <v>1275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8">
        <f>SUM(Table14[[#This Row],[Julio]:[Diciembre2]])</f>
        <v>1275</v>
      </c>
      <c r="AW81" s="23"/>
    </row>
    <row r="82" spans="1:49" x14ac:dyDescent="0.4">
      <c r="A82" s="53">
        <v>59</v>
      </c>
      <c r="B82" t="s">
        <v>471</v>
      </c>
      <c r="C82" s="1">
        <v>30</v>
      </c>
      <c r="D82" t="s">
        <v>40</v>
      </c>
      <c r="E82" s="60">
        <v>45678</v>
      </c>
      <c r="F82" s="20">
        <v>45709</v>
      </c>
      <c r="G82" t="s">
        <v>94</v>
      </c>
      <c r="H82" t="s">
        <v>45</v>
      </c>
      <c r="I82" s="1" t="s">
        <v>53</v>
      </c>
      <c r="J82" t="s">
        <v>707</v>
      </c>
      <c r="K82" s="1" t="s">
        <v>95</v>
      </c>
      <c r="L82" s="1" t="s">
        <v>471</v>
      </c>
      <c r="M82" s="1">
        <v>1</v>
      </c>
      <c r="N82" s="23"/>
      <c r="O82" t="s">
        <v>118</v>
      </c>
      <c r="P82" t="s">
        <v>44</v>
      </c>
      <c r="Q82" t="str">
        <f>_xlfn.CONCAT(Table14[[#This Row],[Clase]]," ",Table14[[#This Row],[Tipo]])</f>
        <v>Guitarra G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  <c r="X82" s="23">
        <v>0</v>
      </c>
      <c r="Y82" s="23">
        <v>0</v>
      </c>
      <c r="Z82" s="23">
        <v>0</v>
      </c>
      <c r="AA82" s="23">
        <v>0</v>
      </c>
      <c r="AB82" s="23">
        <v>0</v>
      </c>
      <c r="AC82" s="23">
        <v>0</v>
      </c>
      <c r="AD82" s="23">
        <v>0</v>
      </c>
      <c r="AE82" s="23">
        <v>0</v>
      </c>
      <c r="AF82" s="23">
        <v>0</v>
      </c>
      <c r="AG82" s="23">
        <v>0</v>
      </c>
      <c r="AH82" s="23">
        <v>0</v>
      </c>
      <c r="AI82" s="23">
        <v>0</v>
      </c>
      <c r="AJ82" s="23">
        <v>1350</v>
      </c>
      <c r="AK82" s="41">
        <v>1350</v>
      </c>
      <c r="AL82" s="41">
        <v>1350</v>
      </c>
      <c r="AM82" s="41">
        <v>1350</v>
      </c>
      <c r="AN82" s="41">
        <v>1350</v>
      </c>
      <c r="AO82" s="41">
        <v>1350</v>
      </c>
      <c r="AP82" s="41">
        <v>1350</v>
      </c>
      <c r="AQ82" s="41">
        <v>1350</v>
      </c>
      <c r="AR82" s="23">
        <v>1350</v>
      </c>
      <c r="AS82" s="23">
        <v>1350</v>
      </c>
      <c r="AT82" s="23">
        <v>1350</v>
      </c>
      <c r="AU82" s="23"/>
      <c r="AV82" s="38">
        <f>SUM(Table14[[#This Row],[Julio]:[Diciembre2]])</f>
        <v>14850</v>
      </c>
      <c r="AW82" s="23"/>
    </row>
    <row r="83" spans="1:49" x14ac:dyDescent="0.4">
      <c r="A83" s="53">
        <v>75</v>
      </c>
      <c r="B83" t="s">
        <v>553</v>
      </c>
      <c r="C83" s="1">
        <v>34</v>
      </c>
      <c r="D83" t="s">
        <v>40</v>
      </c>
      <c r="E83" s="60">
        <v>45804</v>
      </c>
      <c r="F83" s="20">
        <v>45835</v>
      </c>
      <c r="G83" t="s">
        <v>94</v>
      </c>
      <c r="H83" t="s">
        <v>45</v>
      </c>
      <c r="I83" s="1" t="s">
        <v>53</v>
      </c>
      <c r="J83" t="s">
        <v>701</v>
      </c>
      <c r="K83" s="1" t="s">
        <v>95</v>
      </c>
      <c r="M83" s="1">
        <v>1</v>
      </c>
      <c r="N83" s="23"/>
      <c r="O83" t="s">
        <v>118</v>
      </c>
      <c r="P83" t="s">
        <v>44</v>
      </c>
      <c r="Q83" t="str">
        <f>_xlfn.CONCAT(Table14[[#This Row],[Clase]]," ",Table14[[#This Row],[Tipo]])</f>
        <v>Guitarra G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0</v>
      </c>
      <c r="AK83" s="23">
        <v>0</v>
      </c>
      <c r="AL83" s="23">
        <v>0</v>
      </c>
      <c r="AM83" s="23">
        <v>0</v>
      </c>
      <c r="AN83" s="23">
        <v>1350</v>
      </c>
      <c r="AO83" s="23">
        <v>1350</v>
      </c>
      <c r="AP83" s="23">
        <v>1350</v>
      </c>
      <c r="AQ83" s="23">
        <v>1350</v>
      </c>
      <c r="AR83" s="23">
        <v>1350</v>
      </c>
      <c r="AS83" s="23">
        <v>1350</v>
      </c>
      <c r="AT83" s="23">
        <v>1350</v>
      </c>
      <c r="AU83" s="23"/>
      <c r="AV83" s="38">
        <f>SUM(Table14[[#This Row],[Julio]:[Diciembre2]])</f>
        <v>9450</v>
      </c>
      <c r="AW83" s="23"/>
    </row>
    <row r="84" spans="1:49" x14ac:dyDescent="0.4">
      <c r="A84" s="53">
        <v>70</v>
      </c>
      <c r="B84" t="s">
        <v>688</v>
      </c>
      <c r="C84" s="1">
        <v>16</v>
      </c>
      <c r="D84" t="s">
        <v>40</v>
      </c>
      <c r="E84" s="60">
        <v>45785</v>
      </c>
      <c r="F84" s="20">
        <v>45816</v>
      </c>
      <c r="G84" t="s">
        <v>94</v>
      </c>
      <c r="H84" t="s">
        <v>45</v>
      </c>
      <c r="I84" s="1" t="s">
        <v>53</v>
      </c>
      <c r="J84" t="s">
        <v>710</v>
      </c>
      <c r="K84" s="1" t="s">
        <v>98</v>
      </c>
      <c r="L84" s="1" t="s">
        <v>566</v>
      </c>
      <c r="M84" s="1">
        <v>1</v>
      </c>
      <c r="N84" s="23"/>
      <c r="O84" t="s">
        <v>118</v>
      </c>
      <c r="P84" t="s">
        <v>44</v>
      </c>
      <c r="Q84" t="str">
        <f>_xlfn.CONCAT(Table14[[#This Row],[Clase]]," ",Table14[[#This Row],[Tipo]])</f>
        <v>Guitarra G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1350</v>
      </c>
      <c r="AO84" s="23">
        <v>1350</v>
      </c>
      <c r="AP84" s="23">
        <v>1350</v>
      </c>
      <c r="AQ84" s="23">
        <v>1350</v>
      </c>
      <c r="AR84" s="23">
        <v>1275</v>
      </c>
      <c r="AS84" s="23">
        <v>1275</v>
      </c>
      <c r="AT84" s="23">
        <v>1275</v>
      </c>
      <c r="AU84" s="23"/>
      <c r="AV84" s="38">
        <f>SUM(Table14[[#This Row],[Julio]:[Diciembre2]])</f>
        <v>9225</v>
      </c>
      <c r="AW84" s="23" t="s">
        <v>613</v>
      </c>
    </row>
    <row r="85" spans="1:49" x14ac:dyDescent="0.4">
      <c r="A85" s="53">
        <v>43</v>
      </c>
      <c r="B85" t="s">
        <v>148</v>
      </c>
      <c r="C85" s="1">
        <v>11</v>
      </c>
      <c r="D85" t="s">
        <v>649</v>
      </c>
      <c r="E85" s="60">
        <v>45567</v>
      </c>
      <c r="F85" s="20">
        <v>45598</v>
      </c>
      <c r="G85" t="s">
        <v>94</v>
      </c>
      <c r="H85" t="s">
        <v>47</v>
      </c>
      <c r="I85" s="1" t="s">
        <v>53</v>
      </c>
      <c r="J85" t="s">
        <v>697</v>
      </c>
      <c r="K85" s="1" t="s">
        <v>95</v>
      </c>
      <c r="L85" t="s">
        <v>147</v>
      </c>
      <c r="M85" s="1">
        <v>1</v>
      </c>
      <c r="N85" s="23">
        <v>1275</v>
      </c>
      <c r="O85" t="s">
        <v>106</v>
      </c>
      <c r="P85" t="s">
        <v>44</v>
      </c>
      <c r="Q85" t="str">
        <f>_xlfn.CONCAT(Table14[[#This Row],[Clase]]," ",Table14[[#This Row],[Tipo]])</f>
        <v>Teclado G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f>2550/2</f>
        <v>1275</v>
      </c>
      <c r="AH85" s="23">
        <f>2550/2</f>
        <v>1275</v>
      </c>
      <c r="AI85" s="23">
        <f>2550/2</f>
        <v>1275</v>
      </c>
      <c r="AJ85" s="23">
        <f>2550/2</f>
        <v>1275</v>
      </c>
      <c r="AK85" s="41">
        <v>1275</v>
      </c>
      <c r="AL85" s="41">
        <v>1275</v>
      </c>
      <c r="AM85" s="41">
        <v>1275</v>
      </c>
      <c r="AN85" s="41">
        <v>1275</v>
      </c>
      <c r="AO85" s="41">
        <v>1275</v>
      </c>
      <c r="AP85" s="41">
        <v>1275</v>
      </c>
      <c r="AQ85" s="41">
        <v>0</v>
      </c>
      <c r="AR85" s="23">
        <v>1275</v>
      </c>
      <c r="AS85" s="23">
        <v>1275</v>
      </c>
      <c r="AT85" s="23">
        <v>1275</v>
      </c>
      <c r="AU85" s="23"/>
      <c r="AV85" s="4">
        <f>SUM(Table14[[#This Row],[Julio]:[Diciembre2]])</f>
        <v>16575</v>
      </c>
      <c r="AW85" s="23"/>
    </row>
    <row r="86" spans="1:49" x14ac:dyDescent="0.4">
      <c r="A86" s="64">
        <v>18</v>
      </c>
      <c r="B86" s="27" t="s">
        <v>117</v>
      </c>
      <c r="C86" s="28">
        <v>12</v>
      </c>
      <c r="D86" s="27" t="s">
        <v>41</v>
      </c>
      <c r="E86" s="61">
        <v>45370</v>
      </c>
      <c r="F86" s="29">
        <v>45401</v>
      </c>
      <c r="G86" s="27" t="s">
        <v>94</v>
      </c>
      <c r="H86" s="27" t="s">
        <v>49</v>
      </c>
      <c r="I86" s="28" t="s">
        <v>53</v>
      </c>
      <c r="J86" s="27" t="s">
        <v>703</v>
      </c>
      <c r="K86" s="28" t="s">
        <v>95</v>
      </c>
      <c r="L86" s="28"/>
      <c r="M86" s="28">
        <v>1</v>
      </c>
      <c r="N86" s="30">
        <v>1500</v>
      </c>
      <c r="O86" s="27" t="s">
        <v>118</v>
      </c>
      <c r="P86" s="27" t="s">
        <v>50</v>
      </c>
      <c r="Q86" s="27" t="str">
        <f>_xlfn.CONCAT(Table14[[#This Row],[Clase]]," ",Table14[[#This Row],[Tipo]])</f>
        <v>Bajo G</v>
      </c>
      <c r="R86" s="30">
        <v>0</v>
      </c>
      <c r="S86" s="30">
        <v>0</v>
      </c>
      <c r="T86" s="30">
        <v>0</v>
      </c>
      <c r="U86" s="30">
        <v>0</v>
      </c>
      <c r="V86" s="30">
        <v>0</v>
      </c>
      <c r="W86" s="30">
        <v>0</v>
      </c>
      <c r="X86" s="30">
        <v>0</v>
      </c>
      <c r="Y86" s="30">
        <v>0</v>
      </c>
      <c r="Z86" s="30">
        <v>1500</v>
      </c>
      <c r="AA86" s="30">
        <v>0</v>
      </c>
      <c r="AB86" s="30">
        <v>0</v>
      </c>
      <c r="AC86" s="30">
        <v>0</v>
      </c>
      <c r="AD86" s="30">
        <v>0</v>
      </c>
      <c r="AE86" s="30">
        <v>0</v>
      </c>
      <c r="AF86" s="30">
        <v>0</v>
      </c>
      <c r="AG86" s="30">
        <v>0</v>
      </c>
      <c r="AH86" s="30">
        <v>0</v>
      </c>
      <c r="AI86" s="30">
        <v>0</v>
      </c>
      <c r="AJ86" s="30">
        <v>0</v>
      </c>
      <c r="AK86" s="30">
        <v>0</v>
      </c>
      <c r="AL86" s="30">
        <v>0</v>
      </c>
      <c r="AM86" s="30">
        <v>0</v>
      </c>
      <c r="AN86" s="30">
        <v>0</v>
      </c>
      <c r="AO86" s="30">
        <v>0</v>
      </c>
      <c r="AP86" s="30">
        <v>0</v>
      </c>
      <c r="AQ86" s="30">
        <v>0</v>
      </c>
      <c r="AR86" s="30">
        <v>0</v>
      </c>
      <c r="AS86" s="30">
        <v>0</v>
      </c>
      <c r="AT86" s="30">
        <v>0</v>
      </c>
      <c r="AU86" s="30">
        <v>0</v>
      </c>
      <c r="AV86" s="4">
        <f>SUM(Table14[[#This Row],[Julio]:[Diciembre2]])</f>
        <v>1500</v>
      </c>
      <c r="AW86" s="23"/>
    </row>
    <row r="87" spans="1:49" x14ac:dyDescent="0.4">
      <c r="A87" s="53">
        <v>85</v>
      </c>
      <c r="B87" t="s">
        <v>577</v>
      </c>
      <c r="C87" s="1">
        <v>14</v>
      </c>
      <c r="D87" t="s">
        <v>40</v>
      </c>
      <c r="E87" s="60">
        <v>45833</v>
      </c>
      <c r="F87" s="20">
        <v>45863</v>
      </c>
      <c r="G87" t="s">
        <v>94</v>
      </c>
      <c r="H87" t="s">
        <v>45</v>
      </c>
      <c r="I87" s="1" t="s">
        <v>53</v>
      </c>
      <c r="J87" t="s">
        <v>708</v>
      </c>
      <c r="K87" s="1" t="s">
        <v>95</v>
      </c>
      <c r="L87" t="s">
        <v>612</v>
      </c>
      <c r="M87" s="1">
        <v>1</v>
      </c>
      <c r="N87" s="23"/>
      <c r="O87" t="s">
        <v>118</v>
      </c>
      <c r="P87" t="s">
        <v>44</v>
      </c>
      <c r="Q87" t="str">
        <f>_xlfn.CONCAT(Table14[[#This Row],[Clase]]," ",Table14[[#This Row],[Tipo]])</f>
        <v>Guitarra G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0</v>
      </c>
      <c r="X87" s="23">
        <v>0</v>
      </c>
      <c r="Y87" s="23">
        <v>0</v>
      </c>
      <c r="Z87" s="23">
        <v>0</v>
      </c>
      <c r="AA87" s="23">
        <v>0</v>
      </c>
      <c r="AB87" s="23">
        <v>0</v>
      </c>
      <c r="AC87" s="23">
        <v>0</v>
      </c>
      <c r="AD87" s="23">
        <v>0</v>
      </c>
      <c r="AE87" s="23">
        <v>0</v>
      </c>
      <c r="AF87" s="23">
        <v>0</v>
      </c>
      <c r="AG87" s="23">
        <v>0</v>
      </c>
      <c r="AH87" s="23">
        <v>0</v>
      </c>
      <c r="AI87" s="23">
        <v>0</v>
      </c>
      <c r="AJ87" s="23">
        <v>0</v>
      </c>
      <c r="AK87" s="23">
        <v>0</v>
      </c>
      <c r="AL87" s="23">
        <v>0</v>
      </c>
      <c r="AM87" s="23">
        <v>0</v>
      </c>
      <c r="AN87" s="23">
        <v>0</v>
      </c>
      <c r="AO87" s="23">
        <v>0</v>
      </c>
      <c r="AP87" s="23">
        <v>1275</v>
      </c>
      <c r="AQ87" s="23">
        <v>1275</v>
      </c>
      <c r="AR87" s="23">
        <v>1275</v>
      </c>
      <c r="AS87" s="23">
        <v>1350</v>
      </c>
      <c r="AT87" s="30">
        <v>0</v>
      </c>
      <c r="AU87" s="23"/>
      <c r="AV87" s="38">
        <f>SUM(Table14[[#This Row],[Julio]:[Diciembre2]])</f>
        <v>5175</v>
      </c>
      <c r="AW87" s="23"/>
    </row>
    <row r="88" spans="1:49" x14ac:dyDescent="0.4">
      <c r="A88" s="64">
        <v>101</v>
      </c>
      <c r="B88" s="27" t="s">
        <v>648</v>
      </c>
      <c r="C88" s="28">
        <v>33</v>
      </c>
      <c r="D88" s="27" t="s">
        <v>649</v>
      </c>
      <c r="E88" s="61">
        <v>45894</v>
      </c>
      <c r="F88" s="29">
        <v>45925</v>
      </c>
      <c r="G88" s="27" t="s">
        <v>94</v>
      </c>
      <c r="H88" s="27" t="s">
        <v>47</v>
      </c>
      <c r="I88" s="28" t="s">
        <v>53</v>
      </c>
      <c r="J88" s="27" t="s">
        <v>711</v>
      </c>
      <c r="K88" s="28" t="s">
        <v>8</v>
      </c>
      <c r="L88" s="28"/>
      <c r="M88" s="28">
        <v>2</v>
      </c>
      <c r="N88" s="23"/>
      <c r="O88" s="27" t="s">
        <v>118</v>
      </c>
      <c r="P88" s="27" t="s">
        <v>50</v>
      </c>
      <c r="Q88" s="27" t="str">
        <f>_xlfn.CONCAT(Table14[[#This Row],[Clase]]," ",Table14[[#This Row],[Tipo]])</f>
        <v>Teclado G</v>
      </c>
      <c r="R88" s="30">
        <v>0</v>
      </c>
      <c r="S88" s="30">
        <v>0</v>
      </c>
      <c r="T88" s="30">
        <v>0</v>
      </c>
      <c r="U88" s="30">
        <v>0</v>
      </c>
      <c r="V88" s="30">
        <v>0</v>
      </c>
      <c r="W88" s="30">
        <v>0</v>
      </c>
      <c r="X88" s="30">
        <v>0</v>
      </c>
      <c r="Y88" s="30">
        <v>0</v>
      </c>
      <c r="Z88" s="30">
        <v>0</v>
      </c>
      <c r="AA88" s="30">
        <v>0</v>
      </c>
      <c r="AB88" s="30">
        <v>0</v>
      </c>
      <c r="AC88" s="30">
        <v>0</v>
      </c>
      <c r="AD88" s="30">
        <v>0</v>
      </c>
      <c r="AE88" s="30">
        <v>0</v>
      </c>
      <c r="AF88" s="30">
        <v>0</v>
      </c>
      <c r="AG88" s="54">
        <v>0</v>
      </c>
      <c r="AH88" s="30">
        <v>0</v>
      </c>
      <c r="AI88" s="30">
        <v>0</v>
      </c>
      <c r="AJ88" s="30">
        <v>0</v>
      </c>
      <c r="AK88" s="30">
        <v>0</v>
      </c>
      <c r="AL88" s="30">
        <v>0</v>
      </c>
      <c r="AM88" s="30">
        <v>0</v>
      </c>
      <c r="AN88" s="30">
        <v>0</v>
      </c>
      <c r="AO88" s="30">
        <v>0</v>
      </c>
      <c r="AP88" s="30">
        <v>0</v>
      </c>
      <c r="AQ88" s="30">
        <v>2550</v>
      </c>
      <c r="AR88" s="30">
        <v>0</v>
      </c>
      <c r="AS88" s="30">
        <v>0</v>
      </c>
      <c r="AT88" s="23"/>
      <c r="AU88" s="23"/>
      <c r="AV88" s="38">
        <f>SUM(Table14[[#This Row],[Julio]:[Diciembre2]])</f>
        <v>2550</v>
      </c>
      <c r="AW88" s="23" t="s">
        <v>644</v>
      </c>
    </row>
    <row r="89" spans="1:49" x14ac:dyDescent="0.4">
      <c r="A89" s="64">
        <v>50</v>
      </c>
      <c r="B89" s="27" t="s">
        <v>159</v>
      </c>
      <c r="C89" s="28">
        <v>5</v>
      </c>
      <c r="D89" s="27" t="s">
        <v>39</v>
      </c>
      <c r="E89" s="61">
        <v>45605</v>
      </c>
      <c r="F89" s="29">
        <v>45635</v>
      </c>
      <c r="G89" s="27" t="s">
        <v>94</v>
      </c>
      <c r="H89" s="27" t="s">
        <v>47</v>
      </c>
      <c r="I89" s="28" t="s">
        <v>53</v>
      </c>
      <c r="J89" s="27" t="s">
        <v>701</v>
      </c>
      <c r="K89" s="28" t="s">
        <v>95</v>
      </c>
      <c r="L89" s="28" t="s">
        <v>160</v>
      </c>
      <c r="M89" s="28">
        <v>1</v>
      </c>
      <c r="N89" s="23"/>
      <c r="O89" s="27" t="s">
        <v>106</v>
      </c>
      <c r="P89" s="27" t="s">
        <v>50</v>
      </c>
      <c r="Q89" s="27" t="str">
        <f>_xlfn.CONCAT(Table14[[#This Row],[Clase]]," ",Table14[[#This Row],[Tipo]])</f>
        <v>Teclado G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30">
        <v>0</v>
      </c>
      <c r="AH89" s="30">
        <v>1350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0</v>
      </c>
      <c r="AR89" s="30">
        <v>0</v>
      </c>
      <c r="AS89" s="30">
        <v>0</v>
      </c>
      <c r="AT89" s="30">
        <v>0</v>
      </c>
      <c r="AU89" s="30">
        <v>0</v>
      </c>
      <c r="AV89" s="38">
        <f>SUM(Table14[[#This Row],[Julio]:[Diciembre2]])</f>
        <v>1350</v>
      </c>
      <c r="AW89" s="23"/>
    </row>
    <row r="90" spans="1:49" x14ac:dyDescent="0.4">
      <c r="A90" s="64">
        <v>19</v>
      </c>
      <c r="B90" s="27" t="s">
        <v>121</v>
      </c>
      <c r="C90" s="28">
        <v>10</v>
      </c>
      <c r="D90" s="27" t="s">
        <v>39</v>
      </c>
      <c r="E90" s="61">
        <v>45373</v>
      </c>
      <c r="F90" s="29">
        <v>45404</v>
      </c>
      <c r="G90" s="27" t="s">
        <v>94</v>
      </c>
      <c r="H90" s="27" t="s">
        <v>47</v>
      </c>
      <c r="I90" s="28" t="s">
        <v>53</v>
      </c>
      <c r="J90" s="27" t="s">
        <v>722</v>
      </c>
      <c r="K90" s="28" t="s">
        <v>95</v>
      </c>
      <c r="L90" s="28" t="s">
        <v>121</v>
      </c>
      <c r="M90" s="28">
        <v>1</v>
      </c>
      <c r="N90" s="30">
        <v>1350</v>
      </c>
      <c r="O90" s="27" t="s">
        <v>106</v>
      </c>
      <c r="P90" s="27" t="s">
        <v>50</v>
      </c>
      <c r="Q90" s="27" t="str">
        <f>_xlfn.CONCAT(Table14[[#This Row],[Clase]]," ",Table14[[#This Row],[Tipo]])</f>
        <v>Teclado G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1350</v>
      </c>
      <c r="AA90" s="30">
        <v>1350</v>
      </c>
      <c r="AB90" s="30">
        <v>1350</v>
      </c>
      <c r="AC90" s="30">
        <v>1350</v>
      </c>
      <c r="AD90" s="30">
        <v>0</v>
      </c>
      <c r="AE90" s="30">
        <v>0</v>
      </c>
      <c r="AF90" s="30">
        <v>0</v>
      </c>
      <c r="AG90" s="30">
        <v>0</v>
      </c>
      <c r="AH90" s="30">
        <v>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4">
        <f>SUM(Table14[[#This Row],[Julio]:[Diciembre2]])</f>
        <v>5400</v>
      </c>
      <c r="AW90" s="23"/>
    </row>
    <row r="91" spans="1:49" x14ac:dyDescent="0.4">
      <c r="A91" s="53">
        <v>34</v>
      </c>
      <c r="B91" t="s">
        <v>578</v>
      </c>
      <c r="C91" s="1">
        <v>44</v>
      </c>
      <c r="D91" t="s">
        <v>40</v>
      </c>
      <c r="E91" s="60">
        <v>45535</v>
      </c>
      <c r="F91" s="20">
        <v>45565</v>
      </c>
      <c r="G91" t="s">
        <v>94</v>
      </c>
      <c r="H91" t="s">
        <v>45</v>
      </c>
      <c r="I91" s="1" t="s">
        <v>53</v>
      </c>
      <c r="J91" t="s">
        <v>701</v>
      </c>
      <c r="K91" s="1" t="s">
        <v>95</v>
      </c>
      <c r="L91" s="1" t="s">
        <v>142</v>
      </c>
      <c r="M91" s="1">
        <v>1</v>
      </c>
      <c r="N91" s="23">
        <v>1350</v>
      </c>
      <c r="O91" t="s">
        <v>106</v>
      </c>
      <c r="P91" t="s">
        <v>44</v>
      </c>
      <c r="Q91" t="str">
        <f>_xlfn.CONCAT(Table14[[#This Row],[Clase]]," ",Table14[[#This Row],[Tipo]])</f>
        <v>Guitarra G</v>
      </c>
      <c r="R91" s="23">
        <v>0</v>
      </c>
      <c r="S91" s="23">
        <v>0</v>
      </c>
      <c r="T91" s="23">
        <v>0</v>
      </c>
      <c r="U91" s="23">
        <v>0</v>
      </c>
      <c r="V91" s="23">
        <v>0</v>
      </c>
      <c r="W91" s="23">
        <v>0</v>
      </c>
      <c r="X91" s="23">
        <v>0</v>
      </c>
      <c r="Y91" s="23">
        <v>0</v>
      </c>
      <c r="Z91" s="23">
        <v>0</v>
      </c>
      <c r="AA91" s="23">
        <v>0</v>
      </c>
      <c r="AB91" s="23">
        <v>0</v>
      </c>
      <c r="AC91" s="23">
        <v>0</v>
      </c>
      <c r="AD91" s="23">
        <v>0</v>
      </c>
      <c r="AE91" s="23">
        <v>0</v>
      </c>
      <c r="AF91" s="23">
        <v>1350</v>
      </c>
      <c r="AG91" s="23">
        <v>1350</v>
      </c>
      <c r="AH91" s="23">
        <v>1350</v>
      </c>
      <c r="AI91" s="41">
        <v>1350</v>
      </c>
      <c r="AJ91" s="41">
        <v>1350</v>
      </c>
      <c r="AK91" s="41">
        <v>1350</v>
      </c>
      <c r="AL91" s="41">
        <v>1350</v>
      </c>
      <c r="AM91" s="41">
        <v>1350</v>
      </c>
      <c r="AN91" s="41">
        <v>1350</v>
      </c>
      <c r="AO91" s="41">
        <v>1350</v>
      </c>
      <c r="AP91" s="41">
        <v>1350</v>
      </c>
      <c r="AQ91" s="41">
        <v>1350</v>
      </c>
      <c r="AR91" s="23">
        <v>1350</v>
      </c>
      <c r="AS91" s="30">
        <v>1350</v>
      </c>
      <c r="AT91" s="23">
        <v>1350</v>
      </c>
      <c r="AU91" s="23"/>
      <c r="AV91" s="4">
        <f>SUM(Table14[[#This Row],[Julio]:[Diciembre2]])</f>
        <v>20250</v>
      </c>
      <c r="AW91" s="23"/>
    </row>
    <row r="92" spans="1:49" x14ac:dyDescent="0.4">
      <c r="A92" s="53">
        <v>99</v>
      </c>
      <c r="B92" t="s">
        <v>618</v>
      </c>
      <c r="C92" s="1">
        <v>13</v>
      </c>
      <c r="D92" t="s">
        <v>38</v>
      </c>
      <c r="E92" s="60">
        <v>45869</v>
      </c>
      <c r="F92" s="20">
        <v>45900</v>
      </c>
      <c r="G92" t="s">
        <v>94</v>
      </c>
      <c r="H92" t="s">
        <v>46</v>
      </c>
      <c r="I92" s="1" t="s">
        <v>53</v>
      </c>
      <c r="J92" t="s">
        <v>712</v>
      </c>
      <c r="K92" s="1" t="s">
        <v>95</v>
      </c>
      <c r="M92" s="1">
        <v>1</v>
      </c>
      <c r="N92" s="23"/>
      <c r="O92" t="s">
        <v>118</v>
      </c>
      <c r="P92" t="s">
        <v>44</v>
      </c>
      <c r="Q92" t="str">
        <f>_xlfn.CONCAT(Table14[[#This Row],[Clase]]," ",Table14[[#This Row],[Tipo]])</f>
        <v>Batería G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0</v>
      </c>
      <c r="AG92" s="49">
        <v>0</v>
      </c>
      <c r="AH92" s="23">
        <v>0</v>
      </c>
      <c r="AI92" s="23">
        <v>0</v>
      </c>
      <c r="AJ92" s="23">
        <v>0</v>
      </c>
      <c r="AK92" s="23">
        <v>0</v>
      </c>
      <c r="AL92" s="23">
        <v>0</v>
      </c>
      <c r="AM92" s="23">
        <v>0</v>
      </c>
      <c r="AN92" s="23">
        <v>0</v>
      </c>
      <c r="AO92" s="23">
        <v>0</v>
      </c>
      <c r="AP92" s="23">
        <v>0</v>
      </c>
      <c r="AQ92" s="23">
        <v>1350</v>
      </c>
      <c r="AR92" s="23">
        <v>1350</v>
      </c>
      <c r="AS92" s="23">
        <v>1350</v>
      </c>
      <c r="AT92" s="30">
        <v>0</v>
      </c>
      <c r="AU92" s="23"/>
      <c r="AV92" s="38">
        <f>SUM(Table14[[#This Row],[Julio]:[Diciembre2]])</f>
        <v>4050</v>
      </c>
      <c r="AW92" s="23"/>
    </row>
    <row r="93" spans="1:49" x14ac:dyDescent="0.4">
      <c r="A93" s="64">
        <v>60</v>
      </c>
      <c r="B93" s="27" t="s">
        <v>508</v>
      </c>
      <c r="C93" s="28">
        <v>15</v>
      </c>
      <c r="D93" s="27" t="s">
        <v>38</v>
      </c>
      <c r="E93" s="61">
        <v>45685</v>
      </c>
      <c r="F93" s="29">
        <v>45685</v>
      </c>
      <c r="G93" s="27" t="s">
        <v>94</v>
      </c>
      <c r="H93" s="27" t="s">
        <v>46</v>
      </c>
      <c r="I93" s="28" t="s">
        <v>53</v>
      </c>
      <c r="J93" s="27" t="s">
        <v>703</v>
      </c>
      <c r="K93" s="28" t="s">
        <v>98</v>
      </c>
      <c r="L93" s="28" t="s">
        <v>528</v>
      </c>
      <c r="M93" s="28">
        <v>1</v>
      </c>
      <c r="N93" s="23"/>
      <c r="O93" s="27" t="s">
        <v>118</v>
      </c>
      <c r="P93" s="27" t="s">
        <v>50</v>
      </c>
      <c r="Q93" s="27" t="str">
        <f>_xlfn.CONCAT(Table14[[#This Row],[Clase]]," ",Table14[[#This Row],[Tipo]])</f>
        <v>Batería G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0</v>
      </c>
      <c r="Z93" s="30">
        <v>0</v>
      </c>
      <c r="AA93" s="30">
        <v>0</v>
      </c>
      <c r="AB93" s="30">
        <v>0</v>
      </c>
      <c r="AC93" s="30">
        <v>0</v>
      </c>
      <c r="AD93" s="30">
        <v>0</v>
      </c>
      <c r="AE93" s="30">
        <v>0</v>
      </c>
      <c r="AF93" s="30">
        <v>0</v>
      </c>
      <c r="AG93" s="30">
        <v>0</v>
      </c>
      <c r="AH93" s="30">
        <v>0</v>
      </c>
      <c r="AI93" s="30">
        <v>0</v>
      </c>
      <c r="AJ93" s="30">
        <v>0</v>
      </c>
      <c r="AK93" s="30">
        <v>1350</v>
      </c>
      <c r="AL93" s="30">
        <v>0</v>
      </c>
      <c r="AM93" s="30">
        <v>1350</v>
      </c>
      <c r="AN93" s="30">
        <v>1350</v>
      </c>
      <c r="AO93" s="30">
        <v>0</v>
      </c>
      <c r="AP93" s="30">
        <v>0</v>
      </c>
      <c r="AQ93" s="30">
        <v>0</v>
      </c>
      <c r="AR93" s="30">
        <v>0</v>
      </c>
      <c r="AS93" s="30">
        <v>0</v>
      </c>
      <c r="AT93" s="30">
        <v>0</v>
      </c>
      <c r="AU93" s="30">
        <v>0</v>
      </c>
      <c r="AV93" s="38">
        <f>SUM(Table14[[#This Row],[Julio]:[Diciembre2]])</f>
        <v>4050</v>
      </c>
      <c r="AW93" s="23"/>
    </row>
    <row r="94" spans="1:49" x14ac:dyDescent="0.4">
      <c r="A94" s="53">
        <v>104</v>
      </c>
      <c r="B94" t="s">
        <v>652</v>
      </c>
      <c r="C94" s="1">
        <v>14</v>
      </c>
      <c r="D94" t="s">
        <v>43</v>
      </c>
      <c r="E94" s="60">
        <v>45903</v>
      </c>
      <c r="F94" s="20">
        <v>45933</v>
      </c>
      <c r="G94" t="s">
        <v>94</v>
      </c>
      <c r="H94" t="s">
        <v>46</v>
      </c>
      <c r="I94" s="1" t="s">
        <v>53</v>
      </c>
      <c r="J94" t="s">
        <v>710</v>
      </c>
      <c r="K94" s="1" t="s">
        <v>95</v>
      </c>
      <c r="M94" s="1">
        <v>1</v>
      </c>
      <c r="N94" s="23"/>
      <c r="O94" t="s">
        <v>118</v>
      </c>
      <c r="P94" t="s">
        <v>44</v>
      </c>
      <c r="Q94" t="str">
        <f>_xlfn.CONCAT(Table14[[#This Row],[Clase]]," ",Table14[[#This Row],[Tipo]])</f>
        <v>Batería G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0</v>
      </c>
      <c r="X94" s="23">
        <v>0</v>
      </c>
      <c r="Y94" s="23">
        <v>0</v>
      </c>
      <c r="Z94" s="23">
        <v>0</v>
      </c>
      <c r="AA94" s="23">
        <v>0</v>
      </c>
      <c r="AB94" s="23">
        <v>0</v>
      </c>
      <c r="AC94" s="23">
        <v>0</v>
      </c>
      <c r="AD94" s="23">
        <v>0</v>
      </c>
      <c r="AE94" s="23">
        <v>0</v>
      </c>
      <c r="AF94" s="23">
        <v>0</v>
      </c>
      <c r="AG94" s="49">
        <v>0</v>
      </c>
      <c r="AH94" s="23">
        <v>0</v>
      </c>
      <c r="AI94" s="23">
        <v>0</v>
      </c>
      <c r="AJ94" s="23">
        <v>0</v>
      </c>
      <c r="AK94" s="23">
        <v>0</v>
      </c>
      <c r="AL94" s="23">
        <v>0</v>
      </c>
      <c r="AM94" s="23">
        <v>0</v>
      </c>
      <c r="AN94" s="23">
        <v>0</v>
      </c>
      <c r="AO94" s="23">
        <v>0</v>
      </c>
      <c r="AP94" s="23">
        <v>0</v>
      </c>
      <c r="AQ94" s="23">
        <v>0</v>
      </c>
      <c r="AR94" s="23">
        <v>1275</v>
      </c>
      <c r="AS94" s="23">
        <v>1275</v>
      </c>
      <c r="AT94" s="23">
        <v>1275</v>
      </c>
      <c r="AU94" s="23"/>
      <c r="AV94" s="38">
        <f>SUM(Table14[[#This Row],[Julio]:[Diciembre2]])</f>
        <v>3825</v>
      </c>
      <c r="AW94" s="23"/>
    </row>
    <row r="95" spans="1:49" x14ac:dyDescent="0.4">
      <c r="A95" s="64">
        <v>35</v>
      </c>
      <c r="B95" s="27" t="s">
        <v>139</v>
      </c>
      <c r="C95" s="28">
        <v>35</v>
      </c>
      <c r="D95" s="27" t="s">
        <v>38</v>
      </c>
      <c r="E95" s="61">
        <v>45536</v>
      </c>
      <c r="F95" s="29">
        <v>45566</v>
      </c>
      <c r="G95" s="27" t="s">
        <v>94</v>
      </c>
      <c r="H95" s="27" t="s">
        <v>46</v>
      </c>
      <c r="I95" s="28" t="s">
        <v>53</v>
      </c>
      <c r="J95" s="27" t="s">
        <v>705</v>
      </c>
      <c r="K95" s="28" t="s">
        <v>95</v>
      </c>
      <c r="L95" s="28" t="s">
        <v>139</v>
      </c>
      <c r="M95" s="28">
        <v>2</v>
      </c>
      <c r="N95" s="30">
        <v>1250</v>
      </c>
      <c r="O95" s="27" t="s">
        <v>106</v>
      </c>
      <c r="P95" s="27" t="s">
        <v>50</v>
      </c>
      <c r="Q95" s="27" t="str">
        <f>_xlfn.CONCAT(Table14[[#This Row],[Clase]]," ",Table14[[#This Row],[Tipo]])</f>
        <v>Batería G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0</v>
      </c>
      <c r="Z95" s="30">
        <v>0</v>
      </c>
      <c r="AA95" s="30">
        <v>0</v>
      </c>
      <c r="AB95" s="30">
        <v>0</v>
      </c>
      <c r="AC95" s="30">
        <v>0</v>
      </c>
      <c r="AD95" s="30">
        <v>0</v>
      </c>
      <c r="AE95" s="30">
        <v>1250</v>
      </c>
      <c r="AF95" s="30">
        <v>1250</v>
      </c>
      <c r="AG95" s="30">
        <v>0</v>
      </c>
      <c r="AH95" s="30">
        <v>0</v>
      </c>
      <c r="AI95" s="30">
        <v>0</v>
      </c>
      <c r="AJ95" s="30">
        <v>0</v>
      </c>
      <c r="AK95" s="30">
        <v>0</v>
      </c>
      <c r="AL95" s="30">
        <v>0</v>
      </c>
      <c r="AM95" s="30">
        <v>0</v>
      </c>
      <c r="AN95" s="30">
        <v>0</v>
      </c>
      <c r="AO95" s="30">
        <v>0</v>
      </c>
      <c r="AP95" s="30">
        <v>0</v>
      </c>
      <c r="AQ95" s="30">
        <v>0</v>
      </c>
      <c r="AR95" s="30">
        <v>0</v>
      </c>
      <c r="AS95" s="30">
        <v>0</v>
      </c>
      <c r="AT95" s="30">
        <v>0</v>
      </c>
      <c r="AU95" s="30">
        <v>0</v>
      </c>
      <c r="AV95" s="4">
        <f>SUM(Table14[[#This Row],[Julio]:[Diciembre2]])</f>
        <v>2500</v>
      </c>
      <c r="AW95" s="23"/>
    </row>
    <row r="96" spans="1:49" x14ac:dyDescent="0.4">
      <c r="A96" s="64">
        <v>36</v>
      </c>
      <c r="B96" s="27" t="s">
        <v>139</v>
      </c>
      <c r="C96" s="28">
        <v>35</v>
      </c>
      <c r="D96" s="27" t="s">
        <v>42</v>
      </c>
      <c r="E96" s="61">
        <v>45536</v>
      </c>
      <c r="F96" s="29">
        <v>45566</v>
      </c>
      <c r="G96" s="27" t="s">
        <v>94</v>
      </c>
      <c r="H96" s="27" t="s">
        <v>48</v>
      </c>
      <c r="I96" s="28" t="s">
        <v>53</v>
      </c>
      <c r="J96" s="27" t="s">
        <v>705</v>
      </c>
      <c r="K96" s="28" t="s">
        <v>95</v>
      </c>
      <c r="L96" s="27" t="s">
        <v>139</v>
      </c>
      <c r="M96" s="28"/>
      <c r="N96" s="30"/>
      <c r="O96" s="27" t="s">
        <v>106</v>
      </c>
      <c r="P96" s="27" t="s">
        <v>50</v>
      </c>
      <c r="Q96" s="27" t="str">
        <f>_xlfn.CONCAT(Table14[[#This Row],[Clase]]," ",Table14[[#This Row],[Tipo]])</f>
        <v>Canto G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1250</v>
      </c>
      <c r="AF96" s="30">
        <v>1250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4">
        <f>SUM(Table14[[#This Row],[Julio]:[Diciembre2]])</f>
        <v>2500</v>
      </c>
      <c r="AW96" s="23"/>
    </row>
    <row r="97" spans="1:49" x14ac:dyDescent="0.4">
      <c r="A97" s="53">
        <v>77</v>
      </c>
      <c r="B97" t="s">
        <v>579</v>
      </c>
      <c r="C97" s="1">
        <v>14</v>
      </c>
      <c r="D97" t="s">
        <v>40</v>
      </c>
      <c r="E97" s="60">
        <v>45807</v>
      </c>
      <c r="F97" s="20">
        <v>45838</v>
      </c>
      <c r="G97" t="s">
        <v>94</v>
      </c>
      <c r="H97" t="s">
        <v>45</v>
      </c>
      <c r="I97" s="1" t="s">
        <v>53</v>
      </c>
      <c r="J97" t="s">
        <v>695</v>
      </c>
      <c r="K97" s="1" t="s">
        <v>95</v>
      </c>
      <c r="M97" s="1">
        <v>1</v>
      </c>
      <c r="N97" s="23"/>
      <c r="O97" t="s">
        <v>118</v>
      </c>
      <c r="P97" t="s">
        <v>44</v>
      </c>
      <c r="Q97" t="str">
        <f>_xlfn.CONCAT(Table14[[#This Row],[Clase]]," ",Table14[[#This Row],[Tipo]])</f>
        <v>Guitarra G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0</v>
      </c>
      <c r="X97" s="23">
        <v>0</v>
      </c>
      <c r="Y97" s="23">
        <v>0</v>
      </c>
      <c r="Z97" s="23">
        <v>0</v>
      </c>
      <c r="AA97" s="23">
        <v>0</v>
      </c>
      <c r="AB97" s="23">
        <v>0</v>
      </c>
      <c r="AC97" s="23">
        <v>0</v>
      </c>
      <c r="AD97" s="23">
        <v>0</v>
      </c>
      <c r="AE97" s="23">
        <v>0</v>
      </c>
      <c r="AF97" s="23">
        <v>0</v>
      </c>
      <c r="AG97" s="23">
        <v>0</v>
      </c>
      <c r="AH97" s="23">
        <v>0</v>
      </c>
      <c r="AI97" s="23">
        <v>0</v>
      </c>
      <c r="AJ97" s="23">
        <v>0</v>
      </c>
      <c r="AK97" s="23">
        <v>0</v>
      </c>
      <c r="AL97" s="23">
        <v>0</v>
      </c>
      <c r="AM97" s="23">
        <v>0</v>
      </c>
      <c r="AN97" s="23">
        <v>0</v>
      </c>
      <c r="AO97" s="23">
        <v>1275</v>
      </c>
      <c r="AP97" s="23">
        <v>1275</v>
      </c>
      <c r="AQ97" s="23">
        <v>0</v>
      </c>
      <c r="AR97" s="23">
        <v>1275</v>
      </c>
      <c r="AS97" s="23">
        <v>1275</v>
      </c>
      <c r="AT97" s="23">
        <v>1350</v>
      </c>
      <c r="AU97" s="23"/>
      <c r="AV97" s="38">
        <f>SUM(Table14[[#This Row],[Julio]:[Diciembre2]])</f>
        <v>6450</v>
      </c>
      <c r="AW97" s="23"/>
    </row>
    <row r="98" spans="1:49" x14ac:dyDescent="0.4">
      <c r="A98" s="64">
        <v>30</v>
      </c>
      <c r="B98" s="27" t="s">
        <v>135</v>
      </c>
      <c r="C98" s="28">
        <v>16</v>
      </c>
      <c r="D98" s="27" t="s">
        <v>37</v>
      </c>
      <c r="E98" s="61">
        <v>45478</v>
      </c>
      <c r="F98" s="29">
        <v>45509</v>
      </c>
      <c r="G98" s="27" t="s">
        <v>94</v>
      </c>
      <c r="H98" s="27" t="s">
        <v>45</v>
      </c>
      <c r="I98" s="28" t="s">
        <v>53</v>
      </c>
      <c r="J98" s="27" t="s">
        <v>705</v>
      </c>
      <c r="K98" s="28" t="s">
        <v>95</v>
      </c>
      <c r="L98" s="28" t="s">
        <v>136</v>
      </c>
      <c r="M98" s="28">
        <v>1</v>
      </c>
      <c r="N98" s="23">
        <v>1350</v>
      </c>
      <c r="O98" s="27" t="s">
        <v>106</v>
      </c>
      <c r="P98" s="27" t="s">
        <v>50</v>
      </c>
      <c r="Q98" s="27" t="str">
        <f>_xlfn.CONCAT(Table14[[#This Row],[Clase]]," ",Table14[[#This Row],[Tipo]])</f>
        <v>Guitarra G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0</v>
      </c>
      <c r="Z98" s="30">
        <v>0</v>
      </c>
      <c r="AA98" s="30">
        <v>0</v>
      </c>
      <c r="AB98" s="30">
        <v>0</v>
      </c>
      <c r="AC98" s="30">
        <v>0</v>
      </c>
      <c r="AD98" s="30">
        <v>1350</v>
      </c>
      <c r="AE98" s="30">
        <v>1350</v>
      </c>
      <c r="AF98" s="30">
        <v>1350</v>
      </c>
      <c r="AG98" s="30">
        <v>1350</v>
      </c>
      <c r="AH98" s="30">
        <v>1350</v>
      </c>
      <c r="AI98" s="30">
        <v>1350</v>
      </c>
      <c r="AJ98" s="30">
        <v>0</v>
      </c>
      <c r="AK98" s="30">
        <v>0</v>
      </c>
      <c r="AL98" s="30">
        <v>0</v>
      </c>
      <c r="AM98" s="30">
        <v>0</v>
      </c>
      <c r="AN98" s="30">
        <v>0</v>
      </c>
      <c r="AO98" s="30">
        <v>0</v>
      </c>
      <c r="AP98" s="30">
        <v>0</v>
      </c>
      <c r="AQ98" s="30">
        <v>0</v>
      </c>
      <c r="AR98" s="30">
        <v>0</v>
      </c>
      <c r="AS98" s="30">
        <v>0</v>
      </c>
      <c r="AT98" s="30">
        <v>0</v>
      </c>
      <c r="AU98" s="30">
        <v>0</v>
      </c>
      <c r="AV98" s="4">
        <f>SUM(Table14[[#This Row],[Julio]:[Diciembre2]])</f>
        <v>8100</v>
      </c>
      <c r="AW98" s="23"/>
    </row>
    <row r="99" spans="1:49" x14ac:dyDescent="0.4">
      <c r="A99" s="53">
        <v>107</v>
      </c>
      <c r="B99" t="s">
        <v>729</v>
      </c>
      <c r="C99" s="1">
        <v>9</v>
      </c>
      <c r="D99" t="s">
        <v>39</v>
      </c>
      <c r="E99" s="20">
        <v>45932</v>
      </c>
      <c r="F99" s="20">
        <v>45963</v>
      </c>
      <c r="G99" t="s">
        <v>94</v>
      </c>
      <c r="H99" t="s">
        <v>47</v>
      </c>
      <c r="I99" s="1" t="s">
        <v>53</v>
      </c>
      <c r="K99" s="1" t="s">
        <v>8</v>
      </c>
      <c r="L99" s="1" t="s">
        <v>730</v>
      </c>
      <c r="M99" s="1">
        <v>1</v>
      </c>
      <c r="N99" s="23"/>
      <c r="O99" t="s">
        <v>118</v>
      </c>
      <c r="P99" t="s">
        <v>44</v>
      </c>
      <c r="Q99" t="str">
        <f>_xlfn.CONCAT(Table14[[#This Row],[Clase]]," ",Table14[[#This Row],[Tipo]])</f>
        <v>Teclado G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0</v>
      </c>
      <c r="X99" s="23">
        <v>0</v>
      </c>
      <c r="Y99" s="23">
        <v>0</v>
      </c>
      <c r="Z99" s="23">
        <v>0</v>
      </c>
      <c r="AA99" s="23">
        <v>0</v>
      </c>
      <c r="AB99" s="23">
        <v>0</v>
      </c>
      <c r="AC99" s="23">
        <v>0</v>
      </c>
      <c r="AD99" s="23">
        <v>0</v>
      </c>
      <c r="AE99" s="23">
        <v>0</v>
      </c>
      <c r="AF99" s="23">
        <v>0</v>
      </c>
      <c r="AG99" s="23">
        <v>0</v>
      </c>
      <c r="AH99" s="23">
        <v>0</v>
      </c>
      <c r="AI99" s="23">
        <v>0</v>
      </c>
      <c r="AJ99" s="23">
        <v>0</v>
      </c>
      <c r="AK99" s="23">
        <v>0</v>
      </c>
      <c r="AL99" s="23">
        <v>0</v>
      </c>
      <c r="AM99" s="23">
        <v>0</v>
      </c>
      <c r="AN99" s="23">
        <v>0</v>
      </c>
      <c r="AO99" s="23">
        <v>0</v>
      </c>
      <c r="AP99" s="23">
        <v>0</v>
      </c>
      <c r="AQ99" s="23">
        <v>0</v>
      </c>
      <c r="AR99" s="23">
        <v>0</v>
      </c>
      <c r="AS99" s="23">
        <v>1350</v>
      </c>
      <c r="AT99" s="23">
        <v>1350</v>
      </c>
      <c r="AU99" s="23"/>
      <c r="AV99" s="38">
        <f>SUM(Table14[[#This Row],[Julio]:[Diciembre2]])</f>
        <v>2700</v>
      </c>
      <c r="AW99" s="23"/>
    </row>
    <row r="100" spans="1:49" x14ac:dyDescent="0.4">
      <c r="A100" s="64">
        <v>81</v>
      </c>
      <c r="B100" s="27" t="s">
        <v>562</v>
      </c>
      <c r="C100" s="28">
        <v>6</v>
      </c>
      <c r="D100" s="27" t="s">
        <v>43</v>
      </c>
      <c r="E100" s="61">
        <v>45820</v>
      </c>
      <c r="F100" s="29">
        <v>45850</v>
      </c>
      <c r="G100" s="27" t="s">
        <v>94</v>
      </c>
      <c r="H100" s="27" t="s">
        <v>46</v>
      </c>
      <c r="I100" s="28" t="s">
        <v>53</v>
      </c>
      <c r="J100" s="27"/>
      <c r="K100" s="28" t="s">
        <v>95</v>
      </c>
      <c r="L100" s="28"/>
      <c r="M100" s="28">
        <v>2</v>
      </c>
      <c r="N100" s="23"/>
      <c r="O100" s="27" t="s">
        <v>118</v>
      </c>
      <c r="P100" s="27" t="s">
        <v>50</v>
      </c>
      <c r="Q100" s="27" t="str">
        <f>_xlfn.CONCAT(Table14[[#This Row],[Clase]]," ",Table14[[#This Row],[Tipo]])</f>
        <v>Batería G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0</v>
      </c>
      <c r="Z100" s="30">
        <v>0</v>
      </c>
      <c r="AA100" s="30">
        <v>0</v>
      </c>
      <c r="AB100" s="30">
        <v>0</v>
      </c>
      <c r="AC100" s="30">
        <v>0</v>
      </c>
      <c r="AD100" s="30">
        <v>0</v>
      </c>
      <c r="AE100" s="30">
        <v>0</v>
      </c>
      <c r="AF100" s="30">
        <v>0</v>
      </c>
      <c r="AG100" s="30">
        <v>0</v>
      </c>
      <c r="AH100" s="30">
        <v>0</v>
      </c>
      <c r="AI100" s="30">
        <v>0</v>
      </c>
      <c r="AJ100" s="30">
        <v>0</v>
      </c>
      <c r="AK100" s="30">
        <v>0</v>
      </c>
      <c r="AL100" s="30">
        <v>0</v>
      </c>
      <c r="AM100" s="30">
        <v>0</v>
      </c>
      <c r="AN100" s="30">
        <v>0</v>
      </c>
      <c r="AO100" s="30">
        <v>2550</v>
      </c>
      <c r="AP100" s="30">
        <v>0</v>
      </c>
      <c r="AQ100" s="30">
        <v>0</v>
      </c>
      <c r="AR100" s="30">
        <v>0</v>
      </c>
      <c r="AS100" s="30">
        <v>0</v>
      </c>
      <c r="AT100" s="30">
        <v>0</v>
      </c>
      <c r="AU100" s="30">
        <v>0</v>
      </c>
      <c r="AV100" s="38">
        <f>SUM(Table14[[#This Row],[Julio]:[Diciembre2]])</f>
        <v>2550</v>
      </c>
      <c r="AW100" s="23" t="s">
        <v>617</v>
      </c>
    </row>
    <row r="101" spans="1:49" x14ac:dyDescent="0.4">
      <c r="A101" s="64">
        <v>82</v>
      </c>
      <c r="B101" s="27" t="s">
        <v>573</v>
      </c>
      <c r="C101" s="28">
        <v>23</v>
      </c>
      <c r="D101" s="27" t="s">
        <v>38</v>
      </c>
      <c r="E101" s="61">
        <v>45825</v>
      </c>
      <c r="F101" s="29"/>
      <c r="G101" s="27" t="s">
        <v>94</v>
      </c>
      <c r="H101" s="27" t="s">
        <v>46</v>
      </c>
      <c r="I101" s="28" t="s">
        <v>53</v>
      </c>
      <c r="J101" s="27" t="s">
        <v>713</v>
      </c>
      <c r="K101" s="28" t="s">
        <v>574</v>
      </c>
      <c r="L101" s="28"/>
      <c r="M101" s="28">
        <v>1</v>
      </c>
      <c r="N101" s="23"/>
      <c r="O101" s="27" t="s">
        <v>118</v>
      </c>
      <c r="P101" s="27" t="s">
        <v>50</v>
      </c>
      <c r="Q101" s="27" t="str">
        <f>_xlfn.CONCAT(Table14[[#This Row],[Clase]]," ",Table14[[#This Row],[Tipo]])</f>
        <v>Batería G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51">
        <f>SUM(Table14[[#This Row],[Julio]:[Diciembre2]])</f>
        <v>0</v>
      </c>
      <c r="AW101" s="23" t="s">
        <v>653</v>
      </c>
    </row>
    <row r="102" spans="1:49" x14ac:dyDescent="0.4">
      <c r="A102" s="53">
        <v>58</v>
      </c>
      <c r="B102" t="s">
        <v>472</v>
      </c>
      <c r="C102" s="1">
        <v>6</v>
      </c>
      <c r="D102" t="s">
        <v>38</v>
      </c>
      <c r="E102" s="60">
        <v>45668</v>
      </c>
      <c r="F102" s="20">
        <v>45699</v>
      </c>
      <c r="G102" t="s">
        <v>94</v>
      </c>
      <c r="H102" t="s">
        <v>46</v>
      </c>
      <c r="I102" s="1" t="s">
        <v>53</v>
      </c>
      <c r="J102" t="s">
        <v>692</v>
      </c>
      <c r="K102" s="1" t="s">
        <v>8</v>
      </c>
      <c r="L102" s="1" t="s">
        <v>473</v>
      </c>
      <c r="M102" s="1">
        <v>1</v>
      </c>
      <c r="N102" s="23"/>
      <c r="O102" t="s">
        <v>118</v>
      </c>
      <c r="P102" t="s">
        <v>44</v>
      </c>
      <c r="Q102" t="str">
        <f>_xlfn.CONCAT(Table14[[#This Row],[Clase]]," ",Table14[[#This Row],[Tipo]])</f>
        <v>Batería G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0</v>
      </c>
      <c r="X102" s="23">
        <v>0</v>
      </c>
      <c r="Y102" s="23">
        <v>0</v>
      </c>
      <c r="Z102" s="23">
        <v>0</v>
      </c>
      <c r="AA102" s="23">
        <v>0</v>
      </c>
      <c r="AB102" s="23">
        <v>0</v>
      </c>
      <c r="AC102" s="23">
        <v>0</v>
      </c>
      <c r="AD102" s="23">
        <v>0</v>
      </c>
      <c r="AE102" s="23">
        <v>0</v>
      </c>
      <c r="AF102" s="23">
        <v>0</v>
      </c>
      <c r="AG102" s="23">
        <v>0</v>
      </c>
      <c r="AH102" s="23">
        <v>0</v>
      </c>
      <c r="AI102" s="23">
        <v>0</v>
      </c>
      <c r="AJ102" s="23">
        <v>1350</v>
      </c>
      <c r="AK102" s="41">
        <v>1350</v>
      </c>
      <c r="AL102" s="41">
        <v>1350</v>
      </c>
      <c r="AM102" s="41">
        <v>1350</v>
      </c>
      <c r="AN102" s="41">
        <v>1350</v>
      </c>
      <c r="AO102" s="41">
        <v>1350</v>
      </c>
      <c r="AP102" s="41">
        <v>1350</v>
      </c>
      <c r="AQ102" s="41">
        <v>1350</v>
      </c>
      <c r="AR102" s="23">
        <v>1350</v>
      </c>
      <c r="AS102" s="23">
        <v>1350</v>
      </c>
      <c r="AT102" s="23">
        <v>1350</v>
      </c>
      <c r="AU102" s="23"/>
      <c r="AV102" s="38">
        <f>SUM(Table14[[#This Row],[Julio]:[Diciembre2]])</f>
        <v>14850</v>
      </c>
      <c r="AW102" s="23"/>
    </row>
    <row r="103" spans="1:49" x14ac:dyDescent="0.4">
      <c r="A103" s="64">
        <v>79</v>
      </c>
      <c r="B103" s="27" t="s">
        <v>569</v>
      </c>
      <c r="C103" s="28"/>
      <c r="D103" s="27" t="s">
        <v>39</v>
      </c>
      <c r="E103" s="61">
        <v>45808</v>
      </c>
      <c r="F103" s="29">
        <v>45838</v>
      </c>
      <c r="G103" s="27" t="s">
        <v>94</v>
      </c>
      <c r="H103" s="27" t="s">
        <v>47</v>
      </c>
      <c r="I103" s="28" t="s">
        <v>53</v>
      </c>
      <c r="J103" s="27"/>
      <c r="K103" s="28" t="s">
        <v>98</v>
      </c>
      <c r="L103" s="28" t="s">
        <v>586</v>
      </c>
      <c r="M103" s="28">
        <v>1</v>
      </c>
      <c r="N103" s="23"/>
      <c r="O103" s="27" t="s">
        <v>118</v>
      </c>
      <c r="P103" s="27" t="s">
        <v>50</v>
      </c>
      <c r="Q103" s="27" t="str">
        <f>_xlfn.CONCAT(Table14[[#This Row],[Clase]]," ",Table14[[#This Row],[Tipo]])</f>
        <v>Teclado G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0</v>
      </c>
      <c r="Z103" s="30">
        <v>0</v>
      </c>
      <c r="AA103" s="30">
        <v>0</v>
      </c>
      <c r="AB103" s="30">
        <v>0</v>
      </c>
      <c r="AC103" s="30">
        <v>0</v>
      </c>
      <c r="AD103" s="30">
        <v>0</v>
      </c>
      <c r="AE103" s="30">
        <v>0</v>
      </c>
      <c r="AF103" s="30">
        <v>0</v>
      </c>
      <c r="AG103" s="30">
        <v>0</v>
      </c>
      <c r="AH103" s="30">
        <v>0</v>
      </c>
      <c r="AI103" s="30">
        <v>0</v>
      </c>
      <c r="AJ103" s="30">
        <v>0</v>
      </c>
      <c r="AK103" s="30">
        <v>0</v>
      </c>
      <c r="AL103" s="30">
        <v>0</v>
      </c>
      <c r="AM103" s="30">
        <v>0</v>
      </c>
      <c r="AN103" s="30">
        <v>0</v>
      </c>
      <c r="AO103" s="30">
        <f>2550/2</f>
        <v>1275</v>
      </c>
      <c r="AP103" s="30">
        <v>0</v>
      </c>
      <c r="AQ103" s="30">
        <v>0</v>
      </c>
      <c r="AR103" s="30">
        <v>0</v>
      </c>
      <c r="AS103" s="30">
        <v>0</v>
      </c>
      <c r="AT103" s="30">
        <v>0</v>
      </c>
      <c r="AU103" s="30">
        <v>0</v>
      </c>
      <c r="AV103" s="38">
        <f>SUM(Table14[[#This Row],[Julio]:[Diciembre2]])</f>
        <v>1275</v>
      </c>
      <c r="AW103" s="23"/>
    </row>
    <row r="104" spans="1:49" x14ac:dyDescent="0.4">
      <c r="A104" s="53">
        <v>98</v>
      </c>
      <c r="B104" t="s">
        <v>614</v>
      </c>
      <c r="C104" s="1">
        <v>37</v>
      </c>
      <c r="D104" t="s">
        <v>38</v>
      </c>
      <c r="E104" s="60">
        <v>45867</v>
      </c>
      <c r="F104" s="20">
        <v>45898</v>
      </c>
      <c r="G104" t="s">
        <v>94</v>
      </c>
      <c r="H104" t="s">
        <v>46</v>
      </c>
      <c r="I104" s="1" t="s">
        <v>53</v>
      </c>
      <c r="J104" t="s">
        <v>703</v>
      </c>
      <c r="K104" s="1" t="s">
        <v>95</v>
      </c>
      <c r="M104" s="1">
        <v>1</v>
      </c>
      <c r="N104" s="23"/>
      <c r="O104" t="s">
        <v>118</v>
      </c>
      <c r="P104" t="s">
        <v>44</v>
      </c>
      <c r="Q104" t="str">
        <f>_xlfn.CONCAT(Table14[[#This Row],[Clase]]," ",Table14[[#This Row],[Tipo]])</f>
        <v>Batería G</v>
      </c>
      <c r="R104" s="23">
        <v>0</v>
      </c>
      <c r="S104" s="23">
        <v>0</v>
      </c>
      <c r="T104" s="23">
        <v>0</v>
      </c>
      <c r="U104" s="23">
        <v>0</v>
      </c>
      <c r="V104" s="23">
        <v>0</v>
      </c>
      <c r="W104" s="23">
        <v>0</v>
      </c>
      <c r="X104" s="23">
        <v>0</v>
      </c>
      <c r="Y104" s="23">
        <v>0</v>
      </c>
      <c r="Z104" s="23">
        <v>0</v>
      </c>
      <c r="AA104" s="23">
        <v>0</v>
      </c>
      <c r="AB104" s="23">
        <v>0</v>
      </c>
      <c r="AC104" s="23">
        <v>0</v>
      </c>
      <c r="AD104" s="23">
        <v>0</v>
      </c>
      <c r="AE104" s="23">
        <v>0</v>
      </c>
      <c r="AF104" s="23">
        <v>0</v>
      </c>
      <c r="AG104" s="23">
        <v>0</v>
      </c>
      <c r="AH104" s="23">
        <v>0</v>
      </c>
      <c r="AI104" s="23">
        <v>0</v>
      </c>
      <c r="AJ104" s="23">
        <v>0</v>
      </c>
      <c r="AK104" s="23">
        <v>0</v>
      </c>
      <c r="AL104" s="23">
        <v>0</v>
      </c>
      <c r="AM104" s="23">
        <v>0</v>
      </c>
      <c r="AN104" s="23">
        <v>0</v>
      </c>
      <c r="AO104" s="23">
        <v>0</v>
      </c>
      <c r="AP104" s="23">
        <v>0</v>
      </c>
      <c r="AQ104" s="23">
        <v>1350</v>
      </c>
      <c r="AR104" s="23">
        <v>1350</v>
      </c>
      <c r="AS104" s="23">
        <v>1350</v>
      </c>
      <c r="AT104" s="23">
        <v>1350</v>
      </c>
      <c r="AU104" s="23"/>
      <c r="AV104" s="38">
        <f>SUM(Table14[[#This Row],[Julio]:[Diciembre2]])</f>
        <v>5400</v>
      </c>
      <c r="AW104" s="23"/>
    </row>
    <row r="105" spans="1:49" x14ac:dyDescent="0.4">
      <c r="A105" s="53">
        <v>89</v>
      </c>
      <c r="B105" t="s">
        <v>589</v>
      </c>
      <c r="C105" s="1">
        <v>36</v>
      </c>
      <c r="D105" t="s">
        <v>37</v>
      </c>
      <c r="E105" s="60">
        <v>45838</v>
      </c>
      <c r="F105" s="20">
        <v>45868</v>
      </c>
      <c r="G105" t="s">
        <v>94</v>
      </c>
      <c r="H105" t="s">
        <v>45</v>
      </c>
      <c r="I105" s="1" t="s">
        <v>53</v>
      </c>
      <c r="J105" t="s">
        <v>714</v>
      </c>
      <c r="K105" s="1" t="s">
        <v>95</v>
      </c>
      <c r="M105" s="1">
        <v>1</v>
      </c>
      <c r="N105" s="23"/>
      <c r="O105" t="s">
        <v>118</v>
      </c>
      <c r="P105" t="s">
        <v>44</v>
      </c>
      <c r="Q105" t="str">
        <f>_xlfn.CONCAT(Table14[[#This Row],[Clase]]," ",Table14[[#This Row],[Tipo]])</f>
        <v>Guitarra G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1275</v>
      </c>
      <c r="AQ105" s="41">
        <v>1275</v>
      </c>
      <c r="AR105" s="23">
        <v>1275</v>
      </c>
      <c r="AS105" s="41">
        <v>1275</v>
      </c>
      <c r="AT105" s="30">
        <v>1275</v>
      </c>
      <c r="AU105" s="23"/>
      <c r="AV105" s="38">
        <f>SUM(Table14[[#This Row],[Julio]:[Diciembre2]])</f>
        <v>6375</v>
      </c>
      <c r="AW105" s="23"/>
    </row>
    <row r="106" spans="1:49" x14ac:dyDescent="0.4">
      <c r="A106" s="64">
        <v>47</v>
      </c>
      <c r="B106" s="27" t="s">
        <v>153</v>
      </c>
      <c r="C106" s="28">
        <v>24</v>
      </c>
      <c r="D106" s="27" t="s">
        <v>39</v>
      </c>
      <c r="E106" s="61">
        <v>45570</v>
      </c>
      <c r="F106" s="29">
        <v>45601</v>
      </c>
      <c r="G106" s="27" t="s">
        <v>94</v>
      </c>
      <c r="H106" s="27" t="s">
        <v>47</v>
      </c>
      <c r="I106" s="28" t="s">
        <v>53</v>
      </c>
      <c r="J106" s="27" t="s">
        <v>719</v>
      </c>
      <c r="K106" s="28" t="s">
        <v>95</v>
      </c>
      <c r="L106" s="27" t="s">
        <v>153</v>
      </c>
      <c r="M106" s="28">
        <v>1</v>
      </c>
      <c r="N106" s="23">
        <v>1350</v>
      </c>
      <c r="O106" s="27" t="s">
        <v>106</v>
      </c>
      <c r="P106" s="27" t="s">
        <v>50</v>
      </c>
      <c r="Q106" s="27" t="str">
        <f>_xlfn.CONCAT(Table14[[#This Row],[Clase]]," ",Table14[[#This Row],[Tipo]])</f>
        <v>Teclado G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0</v>
      </c>
      <c r="Z106" s="30">
        <v>0</v>
      </c>
      <c r="AA106" s="30">
        <v>0</v>
      </c>
      <c r="AB106" s="30">
        <v>0</v>
      </c>
      <c r="AC106" s="30">
        <v>0</v>
      </c>
      <c r="AD106" s="30">
        <v>0</v>
      </c>
      <c r="AE106" s="30">
        <v>0</v>
      </c>
      <c r="AF106" s="30">
        <v>0</v>
      </c>
      <c r="AG106" s="30">
        <v>1350</v>
      </c>
      <c r="AH106" s="30">
        <v>1350</v>
      </c>
      <c r="AI106" s="30">
        <v>0</v>
      </c>
      <c r="AJ106" s="30">
        <v>0</v>
      </c>
      <c r="AK106" s="30">
        <v>0</v>
      </c>
      <c r="AL106" s="30">
        <v>0</v>
      </c>
      <c r="AM106" s="30">
        <v>0</v>
      </c>
      <c r="AN106" s="30">
        <v>0</v>
      </c>
      <c r="AO106" s="30">
        <v>0</v>
      </c>
      <c r="AP106" s="30">
        <v>0</v>
      </c>
      <c r="AQ106" s="30">
        <v>0</v>
      </c>
      <c r="AR106" s="30">
        <v>0</v>
      </c>
      <c r="AS106" s="30">
        <v>0</v>
      </c>
      <c r="AT106" s="30">
        <v>0</v>
      </c>
      <c r="AU106" s="30">
        <v>0</v>
      </c>
      <c r="AV106" s="38">
        <f>SUM(Table14[[#This Row],[Julio]:[Diciembre2]])</f>
        <v>2700</v>
      </c>
      <c r="AW106" s="23"/>
    </row>
    <row r="107" spans="1:49" x14ac:dyDescent="0.4">
      <c r="A107" s="53">
        <v>96</v>
      </c>
      <c r="B107" t="s">
        <v>615</v>
      </c>
      <c r="C107" s="1">
        <v>13</v>
      </c>
      <c r="D107" t="s">
        <v>42</v>
      </c>
      <c r="E107" s="60">
        <v>45864</v>
      </c>
      <c r="F107" s="20">
        <v>45895</v>
      </c>
      <c r="G107" t="s">
        <v>94</v>
      </c>
      <c r="H107" t="s">
        <v>48</v>
      </c>
      <c r="I107" s="1" t="s">
        <v>53</v>
      </c>
      <c r="J107" t="s">
        <v>715</v>
      </c>
      <c r="K107" s="1" t="s">
        <v>95</v>
      </c>
      <c r="M107" s="1">
        <v>1</v>
      </c>
      <c r="N107" s="23"/>
      <c r="O107" t="s">
        <v>118</v>
      </c>
      <c r="P107" t="s">
        <v>44</v>
      </c>
      <c r="Q107" t="str">
        <f>_xlfn.CONCAT(Table14[[#This Row],[Clase]]," ",Table14[[#This Row],[Tipo]])</f>
        <v>Canto G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0</v>
      </c>
      <c r="X107" s="23">
        <v>0</v>
      </c>
      <c r="Y107" s="23">
        <v>0</v>
      </c>
      <c r="Z107" s="23">
        <v>0</v>
      </c>
      <c r="AA107" s="23">
        <v>0</v>
      </c>
      <c r="AB107" s="23">
        <v>0</v>
      </c>
      <c r="AC107" s="23">
        <v>0</v>
      </c>
      <c r="AD107" s="23">
        <v>0</v>
      </c>
      <c r="AE107" s="23">
        <v>0</v>
      </c>
      <c r="AF107" s="23">
        <v>0</v>
      </c>
      <c r="AG107" s="23">
        <v>0</v>
      </c>
      <c r="AH107" s="23">
        <v>0</v>
      </c>
      <c r="AI107" s="23">
        <v>0</v>
      </c>
      <c r="AJ107" s="23">
        <v>0</v>
      </c>
      <c r="AK107" s="23">
        <v>0</v>
      </c>
      <c r="AL107" s="23">
        <v>0</v>
      </c>
      <c r="AM107" s="23">
        <v>0</v>
      </c>
      <c r="AN107" s="23">
        <v>0</v>
      </c>
      <c r="AO107" s="23">
        <v>0</v>
      </c>
      <c r="AP107" s="23">
        <v>0</v>
      </c>
      <c r="AQ107" s="23">
        <v>1350</v>
      </c>
      <c r="AR107" s="23">
        <v>1350</v>
      </c>
      <c r="AS107" s="41">
        <v>1350</v>
      </c>
      <c r="AT107" s="41">
        <v>1350</v>
      </c>
      <c r="AU107" s="30"/>
      <c r="AV107" s="38">
        <f>SUM(Table14[[#This Row],[Julio]:[Diciembre2]])</f>
        <v>5400</v>
      </c>
      <c r="AW107" s="23" t="s">
        <v>650</v>
      </c>
    </row>
    <row r="108" spans="1:49" x14ac:dyDescent="0.4">
      <c r="A108" s="64">
        <v>31</v>
      </c>
      <c r="B108" s="27" t="s">
        <v>138</v>
      </c>
      <c r="C108" s="28">
        <v>30</v>
      </c>
      <c r="D108" s="27" t="s">
        <v>39</v>
      </c>
      <c r="E108" s="61">
        <v>45491</v>
      </c>
      <c r="F108" s="29">
        <v>45522</v>
      </c>
      <c r="G108" s="27" t="s">
        <v>94</v>
      </c>
      <c r="H108" s="27" t="s">
        <v>47</v>
      </c>
      <c r="I108" s="28" t="s">
        <v>53</v>
      </c>
      <c r="J108" s="27" t="s">
        <v>716</v>
      </c>
      <c r="K108" s="28" t="s">
        <v>8</v>
      </c>
      <c r="L108" s="28"/>
      <c r="M108" s="28">
        <v>1</v>
      </c>
      <c r="N108" s="30">
        <v>1500</v>
      </c>
      <c r="O108" s="27" t="s">
        <v>118</v>
      </c>
      <c r="P108" s="27" t="s">
        <v>50</v>
      </c>
      <c r="Q108" s="27" t="str">
        <f>_xlfn.CONCAT(Table14[[#This Row],[Clase]]," ",Table14[[#This Row],[Tipo]])</f>
        <v>Teclado G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0</v>
      </c>
      <c r="Z108" s="30">
        <v>0</v>
      </c>
      <c r="AA108" s="30">
        <v>0</v>
      </c>
      <c r="AB108" s="30">
        <v>0</v>
      </c>
      <c r="AC108" s="30">
        <v>0</v>
      </c>
      <c r="AD108" s="30">
        <v>1500</v>
      </c>
      <c r="AE108" s="30">
        <v>1800</v>
      </c>
      <c r="AF108" s="30">
        <v>0</v>
      </c>
      <c r="AG108" s="30">
        <v>0</v>
      </c>
      <c r="AH108" s="30">
        <v>0</v>
      </c>
      <c r="AI108" s="30">
        <v>0</v>
      </c>
      <c r="AJ108" s="30">
        <v>0</v>
      </c>
      <c r="AK108" s="30">
        <v>0</v>
      </c>
      <c r="AL108" s="30">
        <v>0</v>
      </c>
      <c r="AM108" s="30">
        <v>0</v>
      </c>
      <c r="AN108" s="30">
        <v>0</v>
      </c>
      <c r="AO108" s="30">
        <v>0</v>
      </c>
      <c r="AP108" s="30">
        <v>0</v>
      </c>
      <c r="AQ108" s="30">
        <v>0</v>
      </c>
      <c r="AR108" s="30">
        <v>0</v>
      </c>
      <c r="AS108" s="30">
        <v>0</v>
      </c>
      <c r="AT108" s="30">
        <v>0</v>
      </c>
      <c r="AU108" s="30">
        <v>0</v>
      </c>
      <c r="AV108" s="37">
        <f>SUM(Table14[[#This Row],[Julio]:[Diciembre2]])</f>
        <v>3300</v>
      </c>
      <c r="AW108" s="23"/>
    </row>
    <row r="109" spans="1:49" x14ac:dyDescent="0.4">
      <c r="A109" s="64">
        <v>32</v>
      </c>
      <c r="B109" s="27" t="s">
        <v>138</v>
      </c>
      <c r="C109" s="28">
        <v>30</v>
      </c>
      <c r="D109" s="27" t="s">
        <v>42</v>
      </c>
      <c r="E109" s="61">
        <v>45491</v>
      </c>
      <c r="F109" s="29">
        <v>45522</v>
      </c>
      <c r="G109" s="27" t="s">
        <v>94</v>
      </c>
      <c r="H109" s="27" t="s">
        <v>48</v>
      </c>
      <c r="I109" s="28" t="s">
        <v>53</v>
      </c>
      <c r="J109" s="27" t="s">
        <v>716</v>
      </c>
      <c r="K109" s="28" t="s">
        <v>8</v>
      </c>
      <c r="L109" s="28"/>
      <c r="M109" s="28">
        <v>1</v>
      </c>
      <c r="N109" s="30">
        <v>1500</v>
      </c>
      <c r="O109" s="27" t="s">
        <v>118</v>
      </c>
      <c r="P109" s="27" t="s">
        <v>50</v>
      </c>
      <c r="Q109" s="27" t="str">
        <f>_xlfn.CONCAT(Table14[[#This Row],[Clase]]," ",Table14[[#This Row],[Tipo]])</f>
        <v>Canto G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1500</v>
      </c>
      <c r="AE109" s="30">
        <v>1800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7">
        <f>SUM(Table14[[#This Row],[Julio]:[Diciembre2]])</f>
        <v>3300</v>
      </c>
      <c r="AW109" s="23"/>
    </row>
    <row r="110" spans="1:49" x14ac:dyDescent="0.4">
      <c r="A110" s="53">
        <v>109</v>
      </c>
      <c r="B110" t="s">
        <v>687</v>
      </c>
      <c r="C110" s="1">
        <v>30</v>
      </c>
      <c r="D110" t="s">
        <v>37</v>
      </c>
      <c r="E110" s="60">
        <v>45934</v>
      </c>
      <c r="G110" t="s">
        <v>94</v>
      </c>
      <c r="H110" t="s">
        <v>45</v>
      </c>
      <c r="I110" s="1" t="s">
        <v>53</v>
      </c>
      <c r="K110" s="1" t="s">
        <v>95</v>
      </c>
      <c r="M110" s="1">
        <v>1</v>
      </c>
      <c r="N110" s="23"/>
      <c r="O110" t="s">
        <v>118</v>
      </c>
      <c r="P110" t="s">
        <v>44</v>
      </c>
      <c r="Q110" t="str">
        <f>_xlfn.CONCAT(Table14[[#This Row],[Clase]]," ",Table14[[#This Row],[Tipo]])</f>
        <v>Guitarra G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0</v>
      </c>
      <c r="X110" s="23">
        <v>0</v>
      </c>
      <c r="Y110" s="23">
        <v>0</v>
      </c>
      <c r="Z110" s="23">
        <v>0</v>
      </c>
      <c r="AA110" s="23">
        <v>0</v>
      </c>
      <c r="AB110" s="23">
        <v>0</v>
      </c>
      <c r="AC110" s="23">
        <v>0</v>
      </c>
      <c r="AD110" s="23">
        <v>0</v>
      </c>
      <c r="AE110" s="23">
        <v>0</v>
      </c>
      <c r="AF110" s="23">
        <v>0</v>
      </c>
      <c r="AG110" s="23">
        <v>0</v>
      </c>
      <c r="AH110" s="23">
        <v>0</v>
      </c>
      <c r="AI110" s="23">
        <v>0</v>
      </c>
      <c r="AJ110" s="23">
        <v>0</v>
      </c>
      <c r="AK110" s="23">
        <v>0</v>
      </c>
      <c r="AL110" s="23">
        <v>0</v>
      </c>
      <c r="AM110" s="23">
        <v>0</v>
      </c>
      <c r="AN110" s="23">
        <v>0</v>
      </c>
      <c r="AO110" s="23">
        <v>0</v>
      </c>
      <c r="AP110" s="23">
        <v>0</v>
      </c>
      <c r="AQ110" s="23">
        <v>0</v>
      </c>
      <c r="AR110" s="23">
        <v>0</v>
      </c>
      <c r="AS110" s="23">
        <v>0</v>
      </c>
      <c r="AT110" s="23">
        <v>1275</v>
      </c>
      <c r="AU110" s="23"/>
      <c r="AV110" s="38">
        <f>SUM(Table14[[#This Row],[Julio]:[Diciembre2]])</f>
        <v>1275</v>
      </c>
      <c r="AW110" s="23"/>
    </row>
    <row r="111" spans="1:49" x14ac:dyDescent="0.4">
      <c r="A111" s="53">
        <v>110</v>
      </c>
      <c r="B111" t="s">
        <v>687</v>
      </c>
      <c r="C111" s="1">
        <v>30</v>
      </c>
      <c r="D111" t="s">
        <v>42</v>
      </c>
      <c r="E111" s="60">
        <v>45934</v>
      </c>
      <c r="G111" t="s">
        <v>94</v>
      </c>
      <c r="H111" t="s">
        <v>48</v>
      </c>
      <c r="I111" s="1" t="s">
        <v>53</v>
      </c>
      <c r="K111" s="1" t="s">
        <v>95</v>
      </c>
      <c r="M111" s="1">
        <v>1</v>
      </c>
      <c r="N111" s="23"/>
      <c r="O111" t="s">
        <v>118</v>
      </c>
      <c r="P111" t="s">
        <v>44</v>
      </c>
      <c r="Q111" t="str">
        <f>_xlfn.CONCAT(Table14[[#This Row],[Clase]]," ",Table14[[#This Row],[Tipo]])</f>
        <v>Canto G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3">
        <v>0</v>
      </c>
      <c r="AS111" s="23">
        <v>0</v>
      </c>
      <c r="AT111" s="23">
        <v>1275</v>
      </c>
      <c r="AU111" s="23"/>
      <c r="AV111" s="38">
        <f>SUM(Table14[[#This Row],[Julio]:[Diciembre2]])</f>
        <v>1275</v>
      </c>
      <c r="AW111" s="23"/>
    </row>
    <row r="112" spans="1:49" x14ac:dyDescent="0.4">
      <c r="A112" s="22"/>
      <c r="N112" s="23"/>
      <c r="Q112" t="str">
        <f>_xlfn.CONCAT(Table14[[#This Row],[Clase]]," ",Table14[[#This Row],[Tipo]])</f>
        <v xml:space="preserve"> </v>
      </c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38">
        <f>SUM(Table14[[#This Row],[Julio]:[Diciembre2]])</f>
        <v>0</v>
      </c>
      <c r="AW112" s="23"/>
    </row>
    <row r="113" spans="1:49" x14ac:dyDescent="0.4">
      <c r="A113" s="22"/>
      <c r="N113" s="23"/>
      <c r="Q113" t="str">
        <f>_xlfn.CONCAT(Table14[[#This Row],[Clase]]," ",Table14[[#This Row],[Tipo]])</f>
        <v xml:space="preserve"> </v>
      </c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38">
        <f>SUM(Table14[[#This Row],[Julio]:[Diciembre2]])</f>
        <v>0</v>
      </c>
      <c r="AW113" s="23"/>
    </row>
    <row r="114" spans="1:49" x14ac:dyDescent="0.4">
      <c r="A114" s="22"/>
      <c r="N114" s="23"/>
      <c r="R114" s="2">
        <f t="shared" ref="R114:AT114" si="0">SUM(R2:R113)</f>
        <v>0</v>
      </c>
      <c r="S114" s="2">
        <f t="shared" si="0"/>
        <v>5400</v>
      </c>
      <c r="T114" s="2">
        <f t="shared" si="0"/>
        <v>16650</v>
      </c>
      <c r="U114" s="2">
        <f t="shared" si="0"/>
        <v>14375</v>
      </c>
      <c r="V114" s="2">
        <f t="shared" si="0"/>
        <v>13100</v>
      </c>
      <c r="W114" s="2">
        <f t="shared" si="0"/>
        <v>13400</v>
      </c>
      <c r="X114" s="2">
        <f t="shared" si="0"/>
        <v>13400</v>
      </c>
      <c r="Y114" s="2">
        <f t="shared" si="0"/>
        <v>11900</v>
      </c>
      <c r="Z114" s="2">
        <f t="shared" si="0"/>
        <v>16750</v>
      </c>
      <c r="AA114" s="2">
        <f t="shared" si="0"/>
        <v>10900</v>
      </c>
      <c r="AB114" s="2">
        <f t="shared" si="0"/>
        <v>18550</v>
      </c>
      <c r="AC114" s="2">
        <f t="shared" si="0"/>
        <v>16300</v>
      </c>
      <c r="AD114" s="2">
        <f t="shared" si="0"/>
        <v>24100</v>
      </c>
      <c r="AE114" s="2">
        <f t="shared" si="0"/>
        <v>26550</v>
      </c>
      <c r="AF114" s="2">
        <f t="shared" si="0"/>
        <v>28050</v>
      </c>
      <c r="AG114" s="2">
        <f t="shared" si="0"/>
        <v>37050</v>
      </c>
      <c r="AH114" s="2">
        <f t="shared" si="0"/>
        <v>35730</v>
      </c>
      <c r="AI114" s="2">
        <f t="shared" si="0"/>
        <v>33000</v>
      </c>
      <c r="AJ114" s="2">
        <f t="shared" si="0"/>
        <v>38250</v>
      </c>
      <c r="AK114" s="2">
        <f t="shared" si="0"/>
        <v>38250</v>
      </c>
      <c r="AL114" s="2">
        <f t="shared" si="0"/>
        <v>45350</v>
      </c>
      <c r="AM114" s="2">
        <f t="shared" si="0"/>
        <v>43650</v>
      </c>
      <c r="AN114" s="2">
        <f t="shared" si="0"/>
        <v>48975</v>
      </c>
      <c r="AO114" s="2">
        <f t="shared" si="0"/>
        <v>60525</v>
      </c>
      <c r="AP114" s="2">
        <f t="shared" si="0"/>
        <v>65700</v>
      </c>
      <c r="AQ114" s="2">
        <f t="shared" si="0"/>
        <v>57900</v>
      </c>
      <c r="AR114" s="2">
        <f t="shared" si="0"/>
        <v>70425</v>
      </c>
      <c r="AS114" s="2">
        <f t="shared" si="0"/>
        <v>74550</v>
      </c>
      <c r="AT114" s="2">
        <f t="shared" si="0"/>
        <v>73725</v>
      </c>
      <c r="AU114" s="2"/>
      <c r="AV114" s="4">
        <f>SUM(Table14[Total])</f>
        <v>953855</v>
      </c>
    </row>
    <row r="119" spans="1:49" x14ac:dyDescent="0.4">
      <c r="AS119">
        <v>4870</v>
      </c>
    </row>
    <row r="120" spans="1:49" x14ac:dyDescent="0.4">
      <c r="AS120">
        <f>AS119-2700</f>
        <v>2170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9F0-AE15-4DE9-B722-773F1920492F}">
  <dimension ref="A1:L737"/>
  <sheetViews>
    <sheetView zoomScaleNormal="100" workbookViewId="0">
      <pane ySplit="1" topLeftCell="A703" activePane="bottomLeft" state="frozen"/>
      <selection pane="bottomLeft" activeCell="D721" sqref="D721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Table1[[#This Row],[Cantidad]]*Table1[[#This Row],[Precio x unidad]]</f>
        <v>2427</v>
      </c>
    </row>
    <row r="22" spans="1:8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Table1[[#This Row],[Cantidad]]*Table1[[#This Row],[Precio x unidad]]</f>
        <v>880.44</v>
      </c>
    </row>
    <row r="23" spans="1:8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Table1[[#This Row],[Cantidad]]*Table1[[#This Row],[Precio x unidad]]</f>
        <v>3284.49</v>
      </c>
    </row>
    <row r="24" spans="1:8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Table1[[#This Row],[Cantidad]]*Table1[[#This Row],[Precio x unidad]]</f>
        <v>406.89</v>
      </c>
    </row>
    <row r="25" spans="1:8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Table1[[#This Row],[Cantidad]]*Table1[[#This Row],[Precio x unidad]]</f>
        <v>350</v>
      </c>
    </row>
    <row r="26" spans="1:8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Table1[[#This Row],[Cantidad]]*Table1[[#This Row],[Precio x unidad]]</f>
        <v>600</v>
      </c>
    </row>
    <row r="27" spans="1:8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Table1[[#This Row],[Cantidad]]*Table1[[#This Row],[Precio x unidad]]</f>
        <v>5697</v>
      </c>
    </row>
    <row r="28" spans="1:8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Table1[[#This Row],[Cantidad]]*Table1[[#This Row],[Precio x unidad]]</f>
        <v>2994</v>
      </c>
    </row>
    <row r="29" spans="1:8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Table1[[#This Row],[Cantidad]]*Table1[[#This Row],[Precio x unidad]]</f>
        <v>14.67</v>
      </c>
    </row>
    <row r="30" spans="1:8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Table1[[#This Row],[Cantidad]]*Table1[[#This Row],[Precio x unidad]]</f>
        <v>79</v>
      </c>
    </row>
    <row r="31" spans="1:8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Table1[[#This Row],[Cantidad]]*Table1[[#This Row],[Precio x unidad]]</f>
        <v>275</v>
      </c>
    </row>
    <row r="32" spans="1:8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Table1[[#This Row],[Cantidad]]*Table1[[#This Row],[Precio x unidad]]</f>
        <v>4395</v>
      </c>
    </row>
    <row r="33" spans="1:8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Table1[[#This Row],[Cantidad]]*Table1[[#This Row],[Precio x unidad]]</f>
        <v>426</v>
      </c>
    </row>
    <row r="34" spans="1:8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Table1[[#This Row],[Cantidad]]*Table1[[#This Row],[Precio x unidad]]</f>
        <v>980</v>
      </c>
    </row>
    <row r="35" spans="1:8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Table1[[#This Row],[Cantidad]]*Table1[[#This Row],[Precio x unidad]]</f>
        <v>3675</v>
      </c>
    </row>
    <row r="36" spans="1:8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Table1[[#This Row],[Cantidad]]*Table1[[#This Row],[Precio x unidad]]</f>
        <v>7000</v>
      </c>
    </row>
    <row r="37" spans="1:8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Table1[[#This Row],[Cantidad]]*Table1[[#This Row],[Precio x unidad]]</f>
        <v>1105.9499999999998</v>
      </c>
    </row>
    <row r="38" spans="1:8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Table1[[#This Row],[Cantidad]]*Table1[[#This Row],[Precio x unidad]]</f>
        <v>1330.29</v>
      </c>
    </row>
    <row r="39" spans="1:8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Table1[[#This Row],[Cantidad]]*Table1[[#This Row],[Precio x unidad]]</f>
        <v>10468</v>
      </c>
    </row>
    <row r="40" spans="1:8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Table1[[#This Row],[Cantidad]]*Table1[[#This Row],[Precio x unidad]]</f>
        <v>1928.64</v>
      </c>
    </row>
    <row r="41" spans="1:8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Table1[[#This Row],[Cantidad]]*Table1[[#This Row],[Precio x unidad]]</f>
        <v>21942.34</v>
      </c>
    </row>
    <row r="42" spans="1:8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Table1[[#This Row],[Cantidad]]*Table1[[#This Row],[Precio x unidad]]</f>
        <v>7621</v>
      </c>
    </row>
    <row r="43" spans="1:8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Table1[[#This Row],[Cantidad]]*Table1[[#This Row],[Precio x unidad]]</f>
        <v>778.05</v>
      </c>
    </row>
    <row r="44" spans="1:8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Table1[[#This Row],[Cantidad]]*Table1[[#This Row],[Precio x unidad]]</f>
        <v>675</v>
      </c>
    </row>
    <row r="45" spans="1:8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Table1[[#This Row],[Cantidad]]*Table1[[#This Row],[Precio x unidad]]</f>
        <v>1078</v>
      </c>
    </row>
    <row r="46" spans="1:8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Table1[[#This Row],[Cantidad]]*Table1[[#This Row],[Precio x unidad]]</f>
        <v>11560</v>
      </c>
    </row>
    <row r="47" spans="1:8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Table1[[#This Row],[Cantidad]]*Table1[[#This Row],[Precio x unidad]]</f>
        <v>2400</v>
      </c>
    </row>
    <row r="48" spans="1:8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Table1[[#This Row],[Cantidad]]*Table1[[#This Row],[Precio x unidad]]</f>
        <v>2598</v>
      </c>
    </row>
    <row r="49" spans="1:8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Table1[[#This Row],[Cantidad]]*Table1[[#This Row],[Precio x unidad]]</f>
        <v>8224.8799999999992</v>
      </c>
    </row>
    <row r="50" spans="1:8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Table1[[#This Row],[Cantidad]]*Table1[[#This Row],[Precio x unidad]]</f>
        <v>-8224.8799999999992</v>
      </c>
    </row>
    <row r="51" spans="1:8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Table1[[#This Row],[Cantidad]]*Table1[[#This Row],[Precio x unidad]]</f>
        <v>75</v>
      </c>
    </row>
    <row r="52" spans="1:8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Table1[[#This Row],[Cantidad]]*Table1[[#This Row],[Precio x unidad]]</f>
        <v>138</v>
      </c>
    </row>
    <row r="53" spans="1:8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Table1[[#This Row],[Cantidad]]*Table1[[#This Row],[Precio x unidad]]</f>
        <v>36</v>
      </c>
    </row>
    <row r="54" spans="1:8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Table1[[#This Row],[Cantidad]]*Table1[[#This Row],[Precio x unidad]]</f>
        <v>20</v>
      </c>
    </row>
    <row r="55" spans="1:8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Table1[[#This Row],[Cantidad]]*Table1[[#This Row],[Precio x unidad]]</f>
        <v>42</v>
      </c>
    </row>
    <row r="56" spans="1:8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Table1[[#This Row],[Cantidad]]*Table1[[#This Row],[Precio x unidad]]</f>
        <v>40</v>
      </c>
    </row>
    <row r="57" spans="1:8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Table1[[#This Row],[Cantidad]]*Table1[[#This Row],[Precio x unidad]]</f>
        <v>29</v>
      </c>
    </row>
    <row r="58" spans="1:8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Table1[[#This Row],[Cantidad]]*Table1[[#This Row],[Precio x unidad]]</f>
        <v>25</v>
      </c>
    </row>
    <row r="59" spans="1:8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Table1[[#This Row],[Cantidad]]*Table1[[#This Row],[Precio x unidad]]</f>
        <v>14.5</v>
      </c>
    </row>
    <row r="60" spans="1:8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Table1[[#This Row],[Cantidad]]*Table1[[#This Row],[Precio x unidad]]</f>
        <v>49</v>
      </c>
    </row>
    <row r="61" spans="1:8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Table1[[#This Row],[Cantidad]]*Table1[[#This Row],[Precio x unidad]]</f>
        <v>59</v>
      </c>
    </row>
    <row r="62" spans="1:8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Table1[[#This Row],[Cantidad]]*Table1[[#This Row],[Precio x unidad]]</f>
        <v>50</v>
      </c>
    </row>
    <row r="63" spans="1:8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Table1[[#This Row],[Cantidad]]*Table1[[#This Row],[Precio x unidad]]</f>
        <v>25</v>
      </c>
    </row>
    <row r="64" spans="1:8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Table1[[#This Row],[Cantidad]]*Table1[[#This Row],[Precio x unidad]]</f>
        <v>69.5</v>
      </c>
    </row>
    <row r="65" spans="1:8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Table1[[#This Row],[Cantidad]]*Table1[[#This Row],[Precio x unidad]]</f>
        <v>26</v>
      </c>
    </row>
    <row r="66" spans="1:8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Table1[[#This Row],[Cantidad]]*Table1[[#This Row],[Precio x unidad]]</f>
        <v>55</v>
      </c>
    </row>
    <row r="67" spans="1:8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Table1[[#This Row],[Cantidad]]*Table1[[#This Row],[Precio x unidad]]</f>
        <v>27</v>
      </c>
    </row>
    <row r="68" spans="1:8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Table1[[#This Row],[Cantidad]]*Table1[[#This Row],[Precio x unidad]]</f>
        <v>65</v>
      </c>
    </row>
    <row r="69" spans="1:8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Table1[[#This Row],[Cantidad]]*Table1[[#This Row],[Precio x unidad]]</f>
        <v>3000</v>
      </c>
    </row>
    <row r="70" spans="1:8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Table1[[#This Row],[Cantidad]]*Table1[[#This Row],[Precio x unidad]]</f>
        <v>9000</v>
      </c>
    </row>
    <row r="71" spans="1:8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Table1[[#This Row],[Cantidad]]*Table1[[#This Row],[Precio x unidad]]</f>
        <v>3550</v>
      </c>
    </row>
    <row r="72" spans="1:8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Table1[[#This Row],[Cantidad]]*Table1[[#This Row],[Precio x unidad]]</f>
        <v>440</v>
      </c>
    </row>
    <row r="73" spans="1:8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Table1[[#This Row],[Cantidad]]*Table1[[#This Row],[Precio x unidad]]</f>
        <v>2547</v>
      </c>
    </row>
    <row r="74" spans="1:8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Table1[[#This Row],[Cantidad]]*Table1[[#This Row],[Precio x unidad]]</f>
        <v>1399</v>
      </c>
    </row>
    <row r="75" spans="1:8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Table1[[#This Row],[Cantidad]]*Table1[[#This Row],[Precio x unidad]]</f>
        <v>416</v>
      </c>
    </row>
    <row r="76" spans="1:8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Table1[[#This Row],[Cantidad]]*Table1[[#This Row],[Precio x unidad]]</f>
        <v>3525.35</v>
      </c>
    </row>
    <row r="77" spans="1:8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Table1[[#This Row],[Cantidad]]*Table1[[#This Row],[Precio x unidad]]</f>
        <v>6845</v>
      </c>
    </row>
    <row r="78" spans="1:8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Table1[[#This Row],[Cantidad]]*Table1[[#This Row],[Precio x unidad]]</f>
        <v>20000</v>
      </c>
    </row>
    <row r="79" spans="1:8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Table1[[#This Row],[Cantidad]]*Table1[[#This Row],[Precio x unidad]]</f>
        <v>-20000</v>
      </c>
    </row>
    <row r="80" spans="1:8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Table1[[#This Row],[Cantidad]]*Table1[[#This Row],[Precio x unidad]]</f>
        <v>365</v>
      </c>
    </row>
    <row r="81" spans="1:8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Table1[[#This Row],[Cantidad]]*Table1[[#This Row],[Precio x unidad]]</f>
        <v>3712</v>
      </c>
    </row>
    <row r="82" spans="1:8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Table1[[#This Row],[Cantidad]]*Table1[[#This Row],[Precio x unidad]]</f>
        <v>2813.77</v>
      </c>
    </row>
    <row r="83" spans="1:8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Table1[[#This Row],[Cantidad]]*Table1[[#This Row],[Precio x unidad]]</f>
        <v>192</v>
      </c>
    </row>
    <row r="84" spans="1:8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Table1[[#This Row],[Cantidad]]*Table1[[#This Row],[Precio x unidad]]</f>
        <v>6800</v>
      </c>
    </row>
    <row r="85" spans="1:8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Table1[[#This Row],[Cantidad]]*Table1[[#This Row],[Precio x unidad]]</f>
        <v>400</v>
      </c>
    </row>
    <row r="86" spans="1:8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Table1[[#This Row],[Cantidad]]*Table1[[#This Row],[Precio x unidad]]</f>
        <v>650</v>
      </c>
    </row>
    <row r="87" spans="1:8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Table1[[#This Row],[Cantidad]]*Table1[[#This Row],[Precio x unidad]]</f>
        <v>242</v>
      </c>
    </row>
    <row r="88" spans="1:8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Table1[[#This Row],[Cantidad]]*Table1[[#This Row],[Precio x unidad]]</f>
        <v>427.24</v>
      </c>
    </row>
    <row r="89" spans="1:8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Table1[[#This Row],[Cantidad]]*Table1[[#This Row],[Precio x unidad]]</f>
        <v>318</v>
      </c>
    </row>
    <row r="90" spans="1:8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Table1[[#This Row],[Cantidad]]*Table1[[#This Row],[Precio x unidad]]</f>
        <v>317.72000000000003</v>
      </c>
    </row>
    <row r="91" spans="1:8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Table1[[#This Row],[Cantidad]]*Table1[[#This Row],[Precio x unidad]]</f>
        <v>5000</v>
      </c>
    </row>
    <row r="92" spans="1:8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Table1[[#This Row],[Cantidad]]*Table1[[#This Row],[Precio x unidad]]</f>
        <v>3500</v>
      </c>
    </row>
    <row r="93" spans="1:8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Table1[[#This Row],[Cantidad]]*Table1[[#This Row],[Precio x unidad]]</f>
        <v>5000</v>
      </c>
    </row>
    <row r="94" spans="1:8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Table1[[#This Row],[Cantidad]]*Table1[[#This Row],[Precio x unidad]]</f>
        <v>3000</v>
      </c>
    </row>
    <row r="95" spans="1:8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Table1[[#This Row],[Cantidad]]*Table1[[#This Row],[Precio x unidad]]</f>
        <v>3199</v>
      </c>
    </row>
    <row r="96" spans="1:8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Table1[[#This Row],[Cantidad]]*Table1[[#This Row],[Precio x unidad]]</f>
        <v>3499</v>
      </c>
    </row>
    <row r="97" spans="1:8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Table1[[#This Row],[Cantidad]]*Table1[[#This Row],[Precio x unidad]]</f>
        <v>3598</v>
      </c>
    </row>
    <row r="98" spans="1:8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Table1[[#This Row],[Cantidad]]*Table1[[#This Row],[Precio x unidad]]</f>
        <v>237</v>
      </c>
    </row>
    <row r="99" spans="1:8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Table1[[#This Row],[Cantidad]]*Table1[[#This Row],[Precio x unidad]]</f>
        <v>52</v>
      </c>
    </row>
    <row r="100" spans="1:8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Table1[[#This Row],[Cantidad]]*Table1[[#This Row],[Precio x unidad]]</f>
        <v>270</v>
      </c>
    </row>
    <row r="101" spans="1:8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Table1[[#This Row],[Cantidad]]*Table1[[#This Row],[Precio x unidad]]</f>
        <v>525</v>
      </c>
    </row>
    <row r="102" spans="1:8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Table1[[#This Row],[Cantidad]]*Table1[[#This Row],[Precio x unidad]]</f>
        <v>50</v>
      </c>
    </row>
    <row r="103" spans="1:8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Table1[[#This Row],[Cantidad]]*Table1[[#This Row],[Precio x unidad]]</f>
        <v>50</v>
      </c>
    </row>
    <row r="104" spans="1:8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Table1[[#This Row],[Cantidad]]*Table1[[#This Row],[Precio x unidad]]</f>
        <v>550</v>
      </c>
    </row>
    <row r="105" spans="1:8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Table1[[#This Row],[Cantidad]]*Table1[[#This Row],[Precio x unidad]]</f>
        <v>11560</v>
      </c>
    </row>
    <row r="106" spans="1:8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Table1[[#This Row],[Cantidad]]*Table1[[#This Row],[Precio x unidad]]</f>
        <v>500</v>
      </c>
    </row>
    <row r="107" spans="1:8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Table1[[#This Row],[Cantidad]]*Table1[[#This Row],[Precio x unidad]]</f>
        <v>4408</v>
      </c>
    </row>
    <row r="108" spans="1:8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Table1[[#This Row],[Cantidad]]*Table1[[#This Row],[Precio x unidad]]</f>
        <v>2400</v>
      </c>
    </row>
    <row r="109" spans="1:8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Table1[[#This Row],[Cantidad]]*Table1[[#This Row],[Precio x unidad]]</f>
        <v>297</v>
      </c>
    </row>
    <row r="110" spans="1:8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Table1[[#This Row],[Cantidad]]*Table1[[#This Row],[Precio x unidad]]</f>
        <v>6999</v>
      </c>
    </row>
    <row r="111" spans="1:8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Table1[[#This Row],[Cantidad]]*Table1[[#This Row],[Precio x unidad]]</f>
        <v>1332</v>
      </c>
    </row>
    <row r="112" spans="1:8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Table1[[#This Row],[Cantidad]]*Table1[[#This Row],[Precio x unidad]]</f>
        <v>2766</v>
      </c>
    </row>
    <row r="113" spans="1:8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Table1[[#This Row],[Cantidad]]*Table1[[#This Row],[Precio x unidad]]</f>
        <v>1400</v>
      </c>
    </row>
    <row r="114" spans="1:8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Table1[[#This Row],[Cantidad]]*Table1[[#This Row],[Precio x unidad]]</f>
        <v>400</v>
      </c>
    </row>
    <row r="115" spans="1:8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Table1[[#This Row],[Cantidad]]*Table1[[#This Row],[Precio x unidad]]</f>
        <v>1000</v>
      </c>
    </row>
    <row r="116" spans="1:8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Table1[[#This Row],[Cantidad]]*Table1[[#This Row],[Precio x unidad]]</f>
        <v>3839</v>
      </c>
    </row>
    <row r="117" spans="1:8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Table1[[#This Row],[Cantidad]]*Table1[[#This Row],[Precio x unidad]]</f>
        <v>1150</v>
      </c>
    </row>
    <row r="118" spans="1:8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Table1[[#This Row],[Cantidad]]*Table1[[#This Row],[Precio x unidad]]</f>
        <v>7200</v>
      </c>
    </row>
    <row r="119" spans="1:8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Table1[[#This Row],[Cantidad]]*Table1[[#This Row],[Precio x unidad]]</f>
        <v>482</v>
      </c>
    </row>
    <row r="120" spans="1:8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Table1[[#This Row],[Cantidad]]*Table1[[#This Row],[Precio x unidad]]</f>
        <v>580</v>
      </c>
    </row>
    <row r="121" spans="1:8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Table1[[#This Row],[Cantidad]]*Table1[[#This Row],[Precio x unidad]]</f>
        <v>2555.98</v>
      </c>
    </row>
    <row r="122" spans="1:8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Table1[[#This Row],[Cantidad]]*Table1[[#This Row],[Precio x unidad]]</f>
        <v>400</v>
      </c>
    </row>
    <row r="123" spans="1:8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Table1[[#This Row],[Cantidad]]*Table1[[#This Row],[Precio x unidad]]</f>
        <v>4408</v>
      </c>
    </row>
    <row r="124" spans="1:8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Table1[[#This Row],[Cantidad]]*Table1[[#This Row],[Precio x unidad]]</f>
        <v>400</v>
      </c>
    </row>
    <row r="125" spans="1:8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Table1[[#This Row],[Cantidad]]*Table1[[#This Row],[Precio x unidad]]</f>
        <v>2000</v>
      </c>
    </row>
    <row r="126" spans="1:8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Table1[[#This Row],[Cantidad]]*Table1[[#This Row],[Precio x unidad]]</f>
        <v>780</v>
      </c>
    </row>
    <row r="127" spans="1:8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Table1[[#This Row],[Cantidad]]*Table1[[#This Row],[Precio x unidad]]</f>
        <v>810</v>
      </c>
    </row>
    <row r="128" spans="1:8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Table1[[#This Row],[Cantidad]]*Table1[[#This Row],[Precio x unidad]]</f>
        <v>560</v>
      </c>
    </row>
    <row r="129" spans="1:8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Table1[[#This Row],[Cantidad]]*Table1[[#This Row],[Precio x unidad]]</f>
        <v>499</v>
      </c>
    </row>
    <row r="130" spans="1:8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Table1[[#This Row],[Cantidad]]*Table1[[#This Row],[Precio x unidad]]</f>
        <v>75</v>
      </c>
    </row>
    <row r="131" spans="1:8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Table1[[#This Row],[Cantidad]]*Table1[[#This Row],[Precio x unidad]]</f>
        <v>400</v>
      </c>
    </row>
    <row r="132" spans="1:8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Table1[[#This Row],[Cantidad]]*Table1[[#This Row],[Precio x unidad]]</f>
        <v>11560</v>
      </c>
    </row>
    <row r="133" spans="1:8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Table1[[#This Row],[Cantidad]]*Table1[[#This Row],[Precio x unidad]]</f>
        <v>6000</v>
      </c>
    </row>
    <row r="134" spans="1:8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Table1[[#This Row],[Cantidad]]*Table1[[#This Row],[Precio x unidad]]</f>
        <v>700</v>
      </c>
    </row>
    <row r="135" spans="1:8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Table1[[#This Row],[Cantidad]]*Table1[[#This Row],[Precio x unidad]]</f>
        <v>640</v>
      </c>
    </row>
    <row r="136" spans="1:8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Table1[[#This Row],[Cantidad]]*Table1[[#This Row],[Precio x unidad]]</f>
        <v>7200</v>
      </c>
    </row>
    <row r="137" spans="1:8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Table1[[#This Row],[Cantidad]]*Table1[[#This Row],[Precio x unidad]]</f>
        <v>100</v>
      </c>
    </row>
    <row r="138" spans="1:8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Table1[[#This Row],[Cantidad]]*Table1[[#This Row],[Precio x unidad]]</f>
        <v>4408</v>
      </c>
    </row>
    <row r="139" spans="1:8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Table1[[#This Row],[Cantidad]]*Table1[[#This Row],[Precio x unidad]]</f>
        <v>80</v>
      </c>
    </row>
    <row r="140" spans="1:8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Table1[[#This Row],[Cantidad]]*Table1[[#This Row],[Precio x unidad]]</f>
        <v>400</v>
      </c>
    </row>
    <row r="141" spans="1:8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Table1[[#This Row],[Cantidad]]*Table1[[#This Row],[Precio x unidad]]</f>
        <v>75</v>
      </c>
    </row>
    <row r="142" spans="1:8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Table1[[#This Row],[Cantidad]]*Table1[[#This Row],[Precio x unidad]]</f>
        <v>242</v>
      </c>
    </row>
    <row r="143" spans="1:8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Table1[[#This Row],[Cantidad]]*Table1[[#This Row],[Precio x unidad]]</f>
        <v>2000</v>
      </c>
    </row>
    <row r="144" spans="1:8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Table1[[#This Row],[Cantidad]]*Table1[[#This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Table1[[#This Row],[Cantidad]]*Table1[[#This Row],[Precio x unidad]]</f>
        <v>488.36</v>
      </c>
    </row>
    <row r="146" spans="1:8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Table1[[#This Row],[Cantidad]]*Table1[[#This Row],[Precio x unidad]]</f>
        <v>400</v>
      </c>
    </row>
    <row r="147" spans="1:8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Table1[[#This Row],[Cantidad]]*Table1[[#This Row],[Precio x unidad]]</f>
        <v>400</v>
      </c>
    </row>
    <row r="150" spans="1:8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Table1[[#This Row],[Cantidad]]*Table1[[#This Row],[Precio x unidad]]</f>
        <v>579</v>
      </c>
    </row>
    <row r="151" spans="1:8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Table1[[#This Row],[Cantidad]]*Table1[[#This Row],[Precio x unidad]]</f>
        <v>2000</v>
      </c>
    </row>
    <row r="152" spans="1:8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Table1[[#This Row],[Cantidad]]*Table1[[#This Row],[Precio x unidad]]</f>
        <v>11560</v>
      </c>
    </row>
    <row r="153" spans="1:8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Table1[[#This Row],[Cantidad]]*Table1[[#This Row],[Precio x unidad]]</f>
        <v>549</v>
      </c>
    </row>
    <row r="154" spans="1:8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Table1[[#This Row],[Cantidad]]*Table1[[#This Row],[Precio x unidad]]</f>
        <v>400</v>
      </c>
    </row>
    <row r="155" spans="1:8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Table1[[#This Row],[Cantidad]]*Table1[[#This Row],[Precio x unidad]]</f>
        <v>8816</v>
      </c>
    </row>
    <row r="156" spans="1:8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Table1[[#This Row],[Cantidad]]*Table1[[#This Row],[Precio x unidad]]</f>
        <v>2000</v>
      </c>
    </row>
    <row r="157" spans="1:8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Table1[[#This Row],[Cantidad]]*Table1[[#This Row],[Precio x unidad]]</f>
        <v>400</v>
      </c>
    </row>
    <row r="158" spans="1:8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Table1[[#This Row],[Cantidad]]*Table1[[#This Row],[Precio x unidad]]</f>
        <v>800</v>
      </c>
    </row>
    <row r="159" spans="1:8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Table1[[#This Row],[Cantidad]]*Table1[[#This Row],[Precio x unidad]]</f>
        <v>80</v>
      </c>
    </row>
    <row r="160" spans="1:8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Table1[[#This Row],[Cantidad]]*Table1[[#This Row],[Precio x unidad]]</f>
        <v>400</v>
      </c>
    </row>
    <row r="161" spans="1:8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Table1[[#This Row],[Cantidad]]*Table1[[#This Row],[Precio x unidad]]</f>
        <v>320</v>
      </c>
    </row>
    <row r="162" spans="1:8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Table1[[#This Row],[Cantidad]]*Table1[[#This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Table1[[#This Row],[Cantidad]]*Table1[[#This Row],[Precio x unidad]]</f>
        <v>945.11</v>
      </c>
    </row>
    <row r="164" spans="1:8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Table1[[#This Row],[Cantidad]]*Table1[[#This Row],[Precio x unidad]]</f>
        <v>40</v>
      </c>
    </row>
    <row r="165" spans="1:8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Table1[[#This Row],[Cantidad]]*Table1[[#This Row],[Precio x unidad]]</f>
        <v>1350</v>
      </c>
    </row>
    <row r="166" spans="1:8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Table1[[#This Row],[Cantidad]]*Table1[[#This Row],[Precio x unidad]]</f>
        <v>640</v>
      </c>
    </row>
    <row r="167" spans="1:8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Table1[[#This Row],[Cantidad]]*Table1[[#This Row],[Precio x unidad]]</f>
        <v>25</v>
      </c>
    </row>
    <row r="168" spans="1:8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Table1[[#This Row],[Cantidad]]*Table1[[#This Row],[Precio x unidad]]</f>
        <v>400</v>
      </c>
    </row>
    <row r="169" spans="1:8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Table1[[#This Row],[Cantidad]]*Table1[[#This Row],[Precio x unidad]]</f>
        <v>400</v>
      </c>
    </row>
    <row r="170" spans="1:8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Table1[[#This Row],[Cantidad]]*Table1[[#This Row],[Precio x unidad]]</f>
        <v>2000</v>
      </c>
    </row>
    <row r="171" spans="1:8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Table1[[#This Row],[Cantidad]]*Table1[[#This Row],[Precio x unidad]]</f>
        <v>499</v>
      </c>
    </row>
    <row r="172" spans="1:8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Table1[[#This Row],[Cantidad]]*Table1[[#This Row],[Precio x unidad]]</f>
        <v>25</v>
      </c>
    </row>
    <row r="173" spans="1:8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Table1[[#This Row],[Cantidad]]*Table1[[#This Row],[Precio x unidad]]</f>
        <v>11560</v>
      </c>
    </row>
    <row r="174" spans="1:8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Table1[[#This Row],[Cantidad]]*Table1[[#This Row],[Precio x unidad]]</f>
        <v>400</v>
      </c>
    </row>
    <row r="175" spans="1:8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Table1[[#This Row],[Cantidad]]*Table1[[#This Row],[Precio x unidad]]</f>
        <v>400</v>
      </c>
    </row>
    <row r="176" spans="1:8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Table1[[#This Row],[Cantidad]]*Table1[[#This Row],[Precio x unidad]]</f>
        <v>2000</v>
      </c>
    </row>
    <row r="177" spans="1:8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Table1[[#This Row],[Cantidad]]*Table1[[#This Row],[Precio x unidad]]</f>
        <v>150</v>
      </c>
    </row>
    <row r="178" spans="1:8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Table1[[#This Row],[Cantidad]]*Table1[[#This Row],[Precio x unidad]]</f>
        <v>250</v>
      </c>
    </row>
    <row r="179" spans="1:8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Table1[[#This Row],[Cantidad]]*Table1[[#This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Table1[[#This Row],[Cantidad]]*Table1[[#This Row],[Precio x unidad]]</f>
        <v>852.75</v>
      </c>
    </row>
    <row r="181" spans="1:8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Table1[[#This Row],[Cantidad]]*Table1[[#This Row],[Precio x unidad]]</f>
        <v>4408</v>
      </c>
    </row>
    <row r="182" spans="1:8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Table1[[#This Row],[Cantidad]]*Table1[[#This Row],[Precio x unidad]]</f>
        <v>400</v>
      </c>
    </row>
    <row r="183" spans="1:8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Table1[[#This Row],[Cantidad]]*Table1[[#This Row],[Precio x unidad]]</f>
        <v>160</v>
      </c>
    </row>
    <row r="184" spans="1:8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Table1[[#This Row],[Cantidad]]*Table1[[#This Row],[Precio x unidad]]</f>
        <v>80</v>
      </c>
    </row>
    <row r="185" spans="1:8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Table1[[#This Row],[Cantidad]]*Table1[[#This Row],[Precio x unidad]]</f>
        <v>800</v>
      </c>
    </row>
    <row r="186" spans="1:8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Table1[[#This Row],[Cantidad]]*Table1[[#This Row],[Precio x unidad]]</f>
        <v>800</v>
      </c>
    </row>
    <row r="187" spans="1:8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Table1[[#This Row],[Cantidad]]*Table1[[#This Row],[Precio x unidad]]</f>
        <v>1600</v>
      </c>
    </row>
    <row r="188" spans="1:8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Table1[[#This Row],[Cantidad]]*Table1[[#This Row],[Precio x unidad]]</f>
        <v>560</v>
      </c>
    </row>
    <row r="189" spans="1:8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Table1[[#This Row],[Cantidad]]*Table1[[#This Row],[Precio x unidad]]</f>
        <v>400</v>
      </c>
    </row>
    <row r="190" spans="1:8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Table1[[#This Row],[Cantidad]]*Table1[[#This Row],[Precio x unidad]]</f>
        <v>1310</v>
      </c>
    </row>
    <row r="191" spans="1:8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Table1[[#This Row],[Cantidad]]*Table1[[#This Row],[Precio x unidad]]</f>
        <v>400</v>
      </c>
    </row>
    <row r="192" spans="1:8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Table1[[#This Row],[Cantidad]]*Table1[[#This Row],[Precio x unidad]]</f>
        <v>499</v>
      </c>
    </row>
    <row r="193" spans="1:8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Table1[[#This Row],[Cantidad]]*Table1[[#This Row],[Precio x unidad]]</f>
        <v>2000</v>
      </c>
    </row>
    <row r="194" spans="1:8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Table1[[#This Row],[Cantidad]]*Table1[[#This Row],[Precio x unidad]]</f>
        <v>4408</v>
      </c>
    </row>
    <row r="195" spans="1:8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Table1[[#This Row],[Cantidad]]*Table1[[#This Row],[Precio x unidad]]</f>
        <v>400</v>
      </c>
    </row>
    <row r="196" spans="1:8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Table1[[#This Row],[Cantidad]]*Table1[[#This Row],[Precio x unidad]]</f>
        <v>11560</v>
      </c>
    </row>
    <row r="197" spans="1:8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Table1[[#This Row],[Cantidad]]*Table1[[#This Row],[Precio x unidad]]</f>
        <v>400</v>
      </c>
    </row>
    <row r="198" spans="1:8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Table1[[#This Row],[Cantidad]]*Table1[[#This Row],[Precio x unidad]]</f>
        <v>4408</v>
      </c>
    </row>
    <row r="199" spans="1:8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Table1[[#This Row],[Cantidad]]*Table1[[#This Row],[Precio x unidad]]</f>
        <v>5000</v>
      </c>
    </row>
    <row r="200" spans="1:8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Table1[[#This Row],[Cantidad]]*Table1[[#This Row],[Precio x unidad]]</f>
        <v>5000</v>
      </c>
    </row>
    <row r="201" spans="1:8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Table1[[#This Row],[Cantidad]]*Table1[[#This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Table1[[#This Row],[Cantidad]]*Table1[[#This Row],[Precio x unidad]]</f>
        <v>800.98</v>
      </c>
    </row>
    <row r="203" spans="1:8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Table1[[#This Row],[Cantidad]]*Table1[[#This Row],[Precio x unidad]]</f>
        <v>2160</v>
      </c>
    </row>
    <row r="204" spans="1:8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Table1[[#This Row],[Cantidad]]*Table1[[#This Row],[Precio x unidad]]</f>
        <v>800</v>
      </c>
    </row>
    <row r="205" spans="1:8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Table1[[#This Row],[Cantidad]]*Table1[[#This Row],[Precio x unidad]]</f>
        <v>800</v>
      </c>
    </row>
    <row r="206" spans="1:8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Table1[[#This Row],[Cantidad]]*Table1[[#This Row],[Precio x unidad]]</f>
        <v>400</v>
      </c>
    </row>
    <row r="207" spans="1:8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Table1[[#This Row],[Cantidad]]*Table1[[#This Row],[Precio x unidad]]</f>
        <v>80</v>
      </c>
    </row>
    <row r="208" spans="1:8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Table1[[#This Row],[Cantidad]]*Table1[[#This Row],[Precio x unidad]]</f>
        <v>400</v>
      </c>
    </row>
    <row r="209" spans="1:12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Table1[[#This Row],[Cantidad]]*Table1[[#This Row],[Precio x unidad]]</f>
        <v>400</v>
      </c>
    </row>
    <row r="210" spans="1:12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Table1[[#This Row],[Cantidad]]*Table1[[#This Row],[Precio x unidad]]</f>
        <v>349.12</v>
      </c>
    </row>
    <row r="211" spans="1:12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Table1[[#This Row],[Cantidad]]*Table1[[#This Row],[Precio x unidad]]</f>
        <v>499</v>
      </c>
    </row>
    <row r="212" spans="1:12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Table1[[#This Row],[Cantidad]]*Table1[[#This Row],[Precio x unidad]]</f>
        <v>2000</v>
      </c>
    </row>
    <row r="213" spans="1:12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Table1[[#This Row],[Cantidad]]*Table1[[#This Row],[Precio x unidad]]</f>
        <v>2000</v>
      </c>
    </row>
    <row r="214" spans="1:12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Table1[[#This Row],[Cantidad]]*Table1[[#This Row],[Precio x unidad]]</f>
        <v>400</v>
      </c>
      <c r="L214" s="2"/>
    </row>
    <row r="215" spans="1:12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Table1[[#This Row],[Cantidad]]*Table1[[#This Row],[Precio x unidad]]</f>
        <v>5000</v>
      </c>
    </row>
    <row r="216" spans="1:12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Table1[[#This Row],[Cantidad]]*Table1[[#This Row],[Precio x unidad]]</f>
        <v>3000</v>
      </c>
    </row>
    <row r="217" spans="1:12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Table1[[#This Row],[Cantidad]]*Table1[[#This Row],[Precio x unidad]]</f>
        <v>2560</v>
      </c>
    </row>
    <row r="218" spans="1:12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Table1[[#This Row],[Cantidad]]*Table1[[#This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Table1[[#This Row],[Cantidad]]*Table1[[#This Row],[Precio x unidad]]</f>
        <v>813.16</v>
      </c>
    </row>
    <row r="220" spans="1:12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Table1[[#This Row],[Cantidad]]*Table1[[#This Row],[Precio x unidad]]</f>
        <v>2000</v>
      </c>
    </row>
    <row r="221" spans="1:12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Table1[[#This Row],[Cantidad]]*Table1[[#This Row],[Precio x unidad]]</f>
        <v>800</v>
      </c>
    </row>
    <row r="222" spans="1:12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Table1[[#This Row],[Cantidad]]*Table1[[#This Row],[Precio x unidad]]</f>
        <v>400</v>
      </c>
    </row>
    <row r="223" spans="1:12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Table1[[#This Row],[Cantidad]]*Table1[[#This Row],[Precio x unidad]]</f>
        <v>400</v>
      </c>
    </row>
    <row r="224" spans="1:12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Table1[[#This Row],[Cantidad]]*Table1[[#This Row],[Precio x unidad]]</f>
        <v>2160</v>
      </c>
    </row>
    <row r="225" spans="1:8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Table1[[#This Row],[Cantidad]]*Table1[[#This Row],[Precio x unidad]]</f>
        <v>684</v>
      </c>
    </row>
    <row r="226" spans="1:8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Table1[[#This Row],[Cantidad]]*Table1[[#This Row],[Precio x unidad]]</f>
        <v>4486</v>
      </c>
    </row>
    <row r="227" spans="1:8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Table1[[#This Row],[Cantidad]]*Table1[[#This Row],[Precio x unidad]]</f>
        <v>400</v>
      </c>
    </row>
    <row r="228" spans="1:8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Table1[[#This Row],[Cantidad]]*Table1[[#This Row],[Precio x unidad]]</f>
        <v>704</v>
      </c>
    </row>
    <row r="229" spans="1:8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Table1[[#This Row],[Cantidad]]*Table1[[#This Row],[Precio x unidad]]</f>
        <v>341.52</v>
      </c>
    </row>
    <row r="230" spans="1:8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Table1[[#This Row],[Cantidad]]*Table1[[#This Row],[Precio x unidad]]</f>
        <v>400</v>
      </c>
    </row>
    <row r="231" spans="1:8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Table1[[#This Row],[Cantidad]]*Table1[[#This Row],[Precio x unidad]]</f>
        <v>2000</v>
      </c>
    </row>
    <row r="232" spans="1:8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Table1[[#This Row],[Cantidad]]*Table1[[#This Row],[Precio x unidad]]</f>
        <v>5000</v>
      </c>
    </row>
    <row r="233" spans="1:8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Table1[[#This Row],[Cantidad]]*Table1[[#This Row],[Precio x unidad]]</f>
        <v>499</v>
      </c>
    </row>
    <row r="234" spans="1:8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Table1[[#This Row],[Cantidad]]*Table1[[#This Row],[Precio x unidad]]</f>
        <v>400</v>
      </c>
    </row>
    <row r="235" spans="1:8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Table1[[#This Row],[Cantidad]]*Table1[[#This Row],[Precio x unidad]]</f>
        <v>6000</v>
      </c>
    </row>
    <row r="236" spans="1:8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Table1[[#This Row],[Cantidad]]*Table1[[#This Row],[Precio x unidad]]</f>
        <v>3000</v>
      </c>
    </row>
    <row r="237" spans="1:8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Table1[[#This Row],[Cantidad]]*Table1[[#This Row],[Precio x unidad]]</f>
        <v>2560</v>
      </c>
    </row>
    <row r="238" spans="1:8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Table1[[#This Row],[Cantidad]]*Table1[[#This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Table1[[#This Row],[Cantidad]]*Table1[[#This Row],[Precio x unidad]]</f>
        <v>813.16</v>
      </c>
    </row>
    <row r="240" spans="1:8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Table1[[#This Row],[Cantidad]]*Table1[[#This Row],[Precio x unidad]]</f>
        <v>1900</v>
      </c>
    </row>
    <row r="241" spans="1:8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Table1[[#This Row],[Cantidad]]*Table1[[#This Row],[Precio x unidad]]</f>
        <v>400</v>
      </c>
    </row>
    <row r="242" spans="1:8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Table1[[#This Row],[Cantidad]]*Table1[[#This Row],[Precio x unidad]]</f>
        <v>400</v>
      </c>
    </row>
    <row r="243" spans="1:8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Table1[[#This Row],[Cantidad]]*Table1[[#This Row],[Precio x unidad]]</f>
        <v>1760</v>
      </c>
    </row>
    <row r="244" spans="1:8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Table1[[#This Row],[Cantidad]]*Table1[[#This Row],[Precio x unidad]]</f>
        <v>2000</v>
      </c>
    </row>
    <row r="245" spans="1:8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Table1[[#This Row],[Cantidad]]*Table1[[#This Row],[Precio x unidad]]</f>
        <v>684</v>
      </c>
    </row>
    <row r="246" spans="1:8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Table1[[#This Row],[Cantidad]]*Table1[[#This Row],[Precio x unidad]]</f>
        <v>5000</v>
      </c>
    </row>
    <row r="247" spans="1:8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Table1[[#This Row],[Cantidad]]*Table1[[#This Row],[Precio x unidad]]</f>
        <v>6000</v>
      </c>
    </row>
    <row r="248" spans="1:8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Table1[[#This Row],[Cantidad]]*Table1[[#This Row],[Precio x unidad]]</f>
        <v>-6000</v>
      </c>
    </row>
    <row r="249" spans="1:8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Table1[[#This Row],[Cantidad]]*Table1[[#This Row],[Precio x unidad]]</f>
        <v>115</v>
      </c>
    </row>
    <row r="250" spans="1:8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Table1[[#This Row],[Cantidad]]*Table1[[#This Row],[Precio x unidad]]</f>
        <v>750</v>
      </c>
    </row>
    <row r="251" spans="1:8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Table1[[#This Row],[Cantidad]]*Table1[[#This Row],[Precio x unidad]]</f>
        <v>50</v>
      </c>
    </row>
    <row r="252" spans="1:8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Table1[[#This Row],[Cantidad]]*Table1[[#This Row],[Precio x unidad]]</f>
        <v>400</v>
      </c>
    </row>
    <row r="253" spans="1:8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Table1[[#This Row],[Cantidad]]*Table1[[#This Row],[Precio x unidad]]</f>
        <v>400</v>
      </c>
    </row>
    <row r="254" spans="1:8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Table1[[#This Row],[Cantidad]]*Table1[[#This Row],[Precio x unidad]]</f>
        <v>343.42</v>
      </c>
    </row>
    <row r="255" spans="1:8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Table1[[#This Row],[Cantidad]]*Table1[[#This Row],[Precio x unidad]]</f>
        <v>2000</v>
      </c>
    </row>
    <row r="256" spans="1:8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Table1[[#This Row],[Cantidad]]*Table1[[#This Row],[Precio x unidad]]</f>
        <v>549</v>
      </c>
    </row>
    <row r="257" spans="1:8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Table1[[#This Row],[Cantidad]]*Table1[[#This Row],[Precio x unidad]]</f>
        <v>400</v>
      </c>
    </row>
    <row r="258" spans="1:8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Table1[[#This Row],[Cantidad]]*Table1[[#This Row],[Precio x unidad]]</f>
        <v>11560</v>
      </c>
    </row>
    <row r="259" spans="1:8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Table1[[#This Row],[Cantidad]]*Table1[[#This Row],[Precio x unidad]]</f>
        <v>5000</v>
      </c>
    </row>
    <row r="260" spans="1:8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Table1[[#This Row],[Cantidad]]*Table1[[#This Row],[Precio x unidad]]</f>
        <v>400</v>
      </c>
    </row>
    <row r="261" spans="1:8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Table1[[#This Row],[Cantidad]]*Table1[[#This Row],[Precio x unidad]]</f>
        <v>10000</v>
      </c>
    </row>
    <row r="262" spans="1:8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Table1[[#This Row],[Cantidad]]*Table1[[#This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Table1[[#This Row],[Cantidad]]*Table1[[#This Row],[Precio x unidad]]</f>
        <v>752.26</v>
      </c>
    </row>
    <row r="264" spans="1:8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Table1[[#This Row],[Cantidad]]*Table1[[#This Row],[Precio x unidad]]</f>
        <v>2000</v>
      </c>
    </row>
    <row r="265" spans="1:8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Table1[[#This Row],[Cantidad]]*Table1[[#This Row],[Precio x unidad]]</f>
        <v>1200</v>
      </c>
    </row>
    <row r="266" spans="1:8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Table1[[#This Row],[Cantidad]]*Table1[[#This Row],[Precio x unidad]]</f>
        <v>1200</v>
      </c>
    </row>
    <row r="267" spans="1:8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Table1[[#This Row],[Cantidad]]*Table1[[#This Row],[Precio x unidad]]</f>
        <v>400</v>
      </c>
    </row>
    <row r="268" spans="1:8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Table1[[#This Row],[Cantidad]]*Table1[[#This Row],[Precio x unidad]]</f>
        <v>400</v>
      </c>
    </row>
    <row r="269" spans="1:8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Table1[[#This Row],[Cantidad]]*Table1[[#This Row],[Precio x unidad]]</f>
        <v>684</v>
      </c>
    </row>
    <row r="270" spans="1:8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Table1[[#This Row],[Cantidad]]*Table1[[#This Row],[Precio x unidad]]</f>
        <v>400</v>
      </c>
    </row>
    <row r="271" spans="1:8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Table1[[#This Row],[Cantidad]]*Table1[[#This Row],[Precio x unidad]]</f>
        <v>150</v>
      </c>
    </row>
    <row r="272" spans="1:8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Table1[[#This Row],[Cantidad]]*Table1[[#This Row],[Precio x unidad]]</f>
        <v>400</v>
      </c>
    </row>
    <row r="273" spans="1:8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Table1[[#This Row],[Cantidad]]*Table1[[#This Row],[Precio x unidad]]</f>
        <v>643</v>
      </c>
    </row>
    <row r="274" spans="1:8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Table1[[#This Row],[Cantidad]]*Table1[[#This Row],[Precio x unidad]]</f>
        <v>2000</v>
      </c>
    </row>
    <row r="275" spans="1:8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Table1[[#This Row],[Cantidad]]*Table1[[#This Row],[Precio x unidad]]</f>
        <v>499</v>
      </c>
    </row>
    <row r="276" spans="1:8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Table1[[#This Row],[Cantidad]]*Table1[[#This Row],[Precio x unidad]]</f>
        <v>400</v>
      </c>
    </row>
    <row r="277" spans="1:8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Table1[[#This Row],[Cantidad]]*Table1[[#This Row],[Precio x unidad]]</f>
        <v>400</v>
      </c>
    </row>
    <row r="278" spans="1:8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Table1[[#This Row],[Cantidad]]*Table1[[#This Row],[Precio x unidad]]</f>
        <v>11560</v>
      </c>
    </row>
    <row r="279" spans="1:8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Table1[[#This Row],[Cantidad]]*Table1[[#This Row],[Precio x unidad]]</f>
        <v>5000</v>
      </c>
    </row>
    <row r="280" spans="1:8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Table1[[#This Row],[Cantidad]]*Table1[[#This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Table1[[#This Row],[Cantidad]]*Table1[[#This Row],[Precio x unidad]]</f>
        <v>949.17</v>
      </c>
    </row>
    <row r="282" spans="1:8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Table1[[#This Row],[Cantidad]]*Table1[[#This Row],[Precio x unidad]]</f>
        <v>2000</v>
      </c>
    </row>
    <row r="283" spans="1:8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Table1[[#This Row],[Cantidad]]*Table1[[#This Row],[Precio x unidad]]</f>
        <v>1820</v>
      </c>
    </row>
    <row r="284" spans="1:8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Table1[[#This Row],[Cantidad]]*Table1[[#This Row],[Precio x unidad]]</f>
        <v>2200</v>
      </c>
    </row>
    <row r="285" spans="1:8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Table1[[#This Row],[Cantidad]]*Table1[[#This Row],[Precio x unidad]]</f>
        <v>800</v>
      </c>
    </row>
    <row r="286" spans="1:8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Table1[[#This Row],[Cantidad]]*Table1[[#This Row],[Precio x unidad]]</f>
        <v>800</v>
      </c>
    </row>
    <row r="287" spans="1:8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Table1[[#This Row],[Cantidad]]*Table1[[#This Row],[Precio x unidad]]</f>
        <v>684</v>
      </c>
    </row>
    <row r="288" spans="1:8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Table1[[#This Row],[Cantidad]]*Table1[[#This Row],[Precio x unidad]]</f>
        <v>400</v>
      </c>
    </row>
    <row r="289" spans="1:8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Table1[[#This Row],[Cantidad]]*Table1[[#This Row],[Precio x unidad]]</f>
        <v>400</v>
      </c>
    </row>
    <row r="290" spans="1:8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Table1[[#This Row],[Cantidad]]*Table1[[#This Row],[Precio x unidad]]</f>
        <v>2000</v>
      </c>
    </row>
    <row r="291" spans="1:8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2050/Table1[[#This Row],[Cantidad]]</f>
        <v>256.25</v>
      </c>
      <c r="H291" s="4">
        <f>Table1[[#This Row],[Cantidad]]*Table1[[#This Row],[Precio x unidad]]</f>
        <v>2050</v>
      </c>
    </row>
    <row r="292" spans="1:8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Table1[[#This Row],[Cantidad]]*Table1[[#This Row],[Precio x unidad]]</f>
        <v>3000</v>
      </c>
    </row>
    <row r="293" spans="1:8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Table1[[#This Row],[Cantidad]]*Table1[[#This Row],[Precio x unidad]]</f>
        <v>6000</v>
      </c>
    </row>
    <row r="294" spans="1:8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Table1[[#This Row],[Cantidad]]*Table1[[#This Row],[Precio x unidad]]</f>
        <v>2560</v>
      </c>
    </row>
    <row r="295" spans="1:8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Table1[[#This Row],[Cantidad]]*Table1[[#This Row],[Precio x unidad]]</f>
        <v>549</v>
      </c>
    </row>
    <row r="296" spans="1:8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Table1[[#This Row],[Cantidad]]*Table1[[#This Row],[Precio x unidad]]</f>
        <v>400</v>
      </c>
    </row>
    <row r="297" spans="1:8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Table1[[#This Row],[Cantidad]]*Table1[[#This Row],[Precio x unidad]]</f>
        <v>400</v>
      </c>
    </row>
    <row r="298" spans="1:8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Table1[[#This Row],[Cantidad]]*Table1[[#This Row],[Precio x unidad]]</f>
        <v>5000</v>
      </c>
    </row>
    <row r="299" spans="1:8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Table1[[#This Row],[Cantidad]]*Table1[[#This Row],[Precio x unidad]]</f>
        <v>3500</v>
      </c>
    </row>
    <row r="300" spans="1:8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Table1[[#This Row],[Cantidad]]*Table1[[#This Row],[Precio x unidad]]</f>
        <v>560</v>
      </c>
    </row>
    <row r="301" spans="1:8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Table1[[#This Row],[Cantidad]]*Table1[[#This Row],[Precio x unidad]]</f>
        <v>1660</v>
      </c>
    </row>
    <row r="302" spans="1:8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Table1[[#This Row],[Cantidad]]*Table1[[#This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Table1[[#This Row],[Cantidad]]*Table1[[#This Row],[Precio x unidad]]</f>
        <v>711.66</v>
      </c>
    </row>
    <row r="304" spans="1:8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Table1[[#This Row],[Cantidad]]*Table1[[#This Row],[Precio x unidad]]</f>
        <v>986</v>
      </c>
    </row>
    <row r="305" spans="1:8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Table1[[#This Row],[Cantidad]]*Table1[[#This Row],[Precio x unidad]]</f>
        <v>684</v>
      </c>
    </row>
    <row r="306" spans="1:8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Table1[[#This Row],[Cantidad]]*Table1[[#This Row],[Precio x unidad]]</f>
        <v>400</v>
      </c>
    </row>
    <row r="307" spans="1:8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Table1[[#This Row],[Cantidad]]*Table1[[#This Row],[Precio x unidad]]</f>
        <v>5000</v>
      </c>
    </row>
    <row r="308" spans="1:8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Table1[[#This Row],[Cantidad]]*Table1[[#This Row],[Precio x unidad]]</f>
        <v>-5000</v>
      </c>
    </row>
    <row r="309" spans="1:8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Table1[[#This Row],[Cantidad]]*Table1[[#This Row],[Precio x unidad]]</f>
        <v>730</v>
      </c>
    </row>
    <row r="310" spans="1:8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Table1[[#This Row],[Cantidad]]*Table1[[#This Row],[Precio x unidad]]</f>
        <v>5000</v>
      </c>
    </row>
    <row r="311" spans="1:8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Table1[[#This Row],[Cantidad]]*Table1[[#This Row],[Precio x unidad]]</f>
        <v>3659</v>
      </c>
    </row>
    <row r="312" spans="1:8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Table1[[#This Row],[Cantidad]]*Table1[[#This Row],[Precio x unidad]]</f>
        <v>-3659</v>
      </c>
    </row>
    <row r="313" spans="1:8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Table1[[#This Row],[Cantidad]]*Table1[[#This Row],[Precio x unidad]]</f>
        <v>400</v>
      </c>
    </row>
    <row r="314" spans="1:8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Table1[[#This Row],[Cantidad]]*Table1[[#This Row],[Precio x unidad]]</f>
        <v>3500</v>
      </c>
    </row>
    <row r="315" spans="1:8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Table1[[#This Row],[Cantidad]]*Table1[[#This Row],[Precio x unidad]]</f>
        <v>400</v>
      </c>
    </row>
    <row r="316" spans="1:8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Table1[[#This Row],[Cantidad]]*Table1[[#This Row],[Precio x unidad]]</f>
        <v>549</v>
      </c>
    </row>
    <row r="317" spans="1:8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Table1[[#This Row],[Cantidad]]*Table1[[#This Row],[Precio x unidad]]</f>
        <v>3000</v>
      </c>
    </row>
    <row r="318" spans="1:8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Table1[[#This Row],[Cantidad]]*Table1[[#This Row],[Precio x unidad]]</f>
        <v>6000</v>
      </c>
    </row>
    <row r="319" spans="1:8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Table1[[#This Row],[Cantidad]]*Table1[[#This Row],[Precio x unidad]]</f>
        <v>2560</v>
      </c>
    </row>
    <row r="320" spans="1:8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Table1[[#This Row],[Cantidad]]*Table1[[#This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Table1[[#This Row],[Cantidad]]*Table1[[#This Row],[Precio x unidad]]</f>
        <v>1022.25</v>
      </c>
    </row>
    <row r="322" spans="1:8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Table1[[#This Row],[Cantidad]]*Table1[[#This Row],[Precio x unidad]]</f>
        <v>3500</v>
      </c>
    </row>
    <row r="323" spans="1:8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Table1[[#This Row],[Cantidad]]*Table1[[#This Row],[Precio x unidad]]</f>
        <v>1600</v>
      </c>
    </row>
    <row r="324" spans="1:8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Table1[[#This Row],[Cantidad]]*Table1[[#This Row],[Precio x unidad]]</f>
        <v>2060</v>
      </c>
    </row>
    <row r="325" spans="1:8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Table1[[#This Row],[Cantidad]]*Table1[[#This Row],[Precio x unidad]]</f>
        <v>1900</v>
      </c>
    </row>
    <row r="326" spans="1:8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Table1[[#This Row],[Cantidad]]*Table1[[#This Row],[Precio x unidad]]</f>
        <v>400</v>
      </c>
    </row>
    <row r="327" spans="1:8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Table1[[#This Row],[Cantidad]]*Table1[[#This Row],[Precio x unidad]]</f>
        <v>5000</v>
      </c>
    </row>
    <row r="328" spans="1:8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Table1[[#This Row],[Cantidad]]*Table1[[#This Row],[Precio x unidad]]</f>
        <v>-5000</v>
      </c>
    </row>
    <row r="329" spans="1:8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Table1[[#This Row],[Cantidad]]*Table1[[#This Row],[Precio x unidad]]</f>
        <v>400</v>
      </c>
    </row>
    <row r="330" spans="1:8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Table1[[#This Row],[Cantidad]]*Table1[[#This Row],[Precio x unidad]]</f>
        <v>4488</v>
      </c>
    </row>
    <row r="331" spans="1:8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Table1[[#This Row],[Cantidad]]*Table1[[#This Row],[Precio x unidad]]</f>
        <v>3500</v>
      </c>
    </row>
    <row r="332" spans="1:8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Table1[[#This Row],[Cantidad]]*Table1[[#This Row],[Precio x unidad]]</f>
        <v>400</v>
      </c>
    </row>
    <row r="333" spans="1:8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Table1[[#This Row],[Cantidad]]*Table1[[#This Row],[Precio x unidad]]</f>
        <v>519</v>
      </c>
    </row>
    <row r="334" spans="1:8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Table1[[#This Row],[Cantidad]]*Table1[[#This Row],[Precio x unidad]]</f>
        <v>3500</v>
      </c>
    </row>
    <row r="335" spans="1:8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Table1[[#This Row],[Cantidad]]*Table1[[#This Row],[Precio x unidad]]</f>
        <v>-3500</v>
      </c>
    </row>
    <row r="336" spans="1:8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Table1[[#This Row],[Cantidad]]*Table1[[#This Row],[Precio x unidad]]</f>
        <v>6000</v>
      </c>
    </row>
    <row r="337" spans="1:8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Table1[[#This Row],[Cantidad]]*Table1[[#This Row],[Precio x unidad]]</f>
        <v>3000</v>
      </c>
    </row>
    <row r="338" spans="1:8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Table1[[#This Row],[Cantidad]]*Table1[[#This Row],[Precio x unidad]]</f>
        <v>2560</v>
      </c>
    </row>
    <row r="339" spans="1:8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Table1[[#This Row],[Cantidad]]*Table1[[#This Row],[Precio x unidad]]</f>
        <v>400</v>
      </c>
    </row>
    <row r="340" spans="1:8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Table1[[#This Row],[Cantidad]]*Table1[[#This Row],[Precio x unidad]]</f>
        <v>5000</v>
      </c>
    </row>
    <row r="341" spans="1:8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Table1[[#This Row],[Cantidad]]*Table1[[#This Row],[Precio x unidad]]</f>
        <v>400</v>
      </c>
    </row>
    <row r="342" spans="1:8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Table1[[#This Row],[Cantidad]]*Table1[[#This Row],[Precio x unidad]]</f>
        <v>1980</v>
      </c>
    </row>
    <row r="343" spans="1:8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Table1[[#This Row],[Cantidad]]*Table1[[#This Row],[Precio x unidad]]</f>
        <v>3500</v>
      </c>
    </row>
    <row r="344" spans="1:8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Table1[[#This Row],[Cantidad]]*Table1[[#This Row],[Precio x unidad]]</f>
        <v>2940</v>
      </c>
    </row>
    <row r="345" spans="1:8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Table1[[#This Row],[Cantidad]]*Table1[[#This Row],[Precio x unidad]]</f>
        <v>80</v>
      </c>
    </row>
    <row r="346" spans="1:8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Table1[[#This Row],[Cantidad]]*Table1[[#This Row],[Precio x unidad]]</f>
        <v>80</v>
      </c>
    </row>
    <row r="347" spans="1:8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Table1[[#This Row],[Cantidad]]*Table1[[#This Row],[Precio x unidad]]</f>
        <v>720</v>
      </c>
    </row>
    <row r="348" spans="1:8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Table1[[#This Row],[Cantidad]]*Table1[[#This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Table1[[#This Row],[Cantidad]]*Table1[[#This Row],[Precio x unidad]]</f>
        <v>930.9</v>
      </c>
    </row>
    <row r="350" spans="1:8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Table1[[#This Row],[Cantidad]]*Table1[[#This Row],[Precio x unidad]]</f>
        <v>400</v>
      </c>
    </row>
    <row r="351" spans="1:8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Table1[[#This Row],[Cantidad]]*Table1[[#This Row],[Precio x unidad]]</f>
        <v>750</v>
      </c>
    </row>
    <row r="352" spans="1:8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Table1[[#This Row],[Cantidad]]*Table1[[#This Row],[Precio x unidad]]</f>
        <v>400</v>
      </c>
    </row>
    <row r="353" spans="1:8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Table1[[#This Row],[Cantidad]]*Table1[[#This Row],[Precio x unidad]]</f>
        <v>3500</v>
      </c>
    </row>
    <row r="354" spans="1:8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Table1[[#This Row],[Cantidad]]*Table1[[#This Row],[Precio x unidad]]</f>
        <v>569</v>
      </c>
    </row>
    <row r="355" spans="1:8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Table1[[#This Row],[Cantidad]]*Table1[[#This Row],[Precio x unidad]]</f>
        <v>1500</v>
      </c>
    </row>
    <row r="356" spans="1:8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Table1[[#This Row],[Cantidad]]*Table1[[#This Row],[Precio x unidad]]</f>
        <v>400</v>
      </c>
    </row>
    <row r="357" spans="1:8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Table1[[#This Row],[Cantidad]]*Table1[[#This Row],[Precio x unidad]]</f>
        <v>6000</v>
      </c>
    </row>
    <row r="358" spans="1:8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Table1[[#This Row],[Cantidad]]*Table1[[#This Row],[Precio x unidad]]</f>
        <v>2560</v>
      </c>
    </row>
    <row r="359" spans="1:8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Table1[[#This Row],[Cantidad]]*Table1[[#This Row],[Precio x unidad]]</f>
        <v>3000</v>
      </c>
    </row>
    <row r="360" spans="1:8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Table1[[#This Row],[Cantidad]]*Table1[[#This Row],[Precio x unidad]]</f>
        <v>400</v>
      </c>
    </row>
    <row r="361" spans="1:8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Table1[[#This Row],[Cantidad]]*Table1[[#This Row],[Precio x unidad]]</f>
        <v>2880</v>
      </c>
    </row>
    <row r="362" spans="1:8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Table1[[#This Row],[Cantidad]]*Table1[[#This Row],[Precio x unidad]]</f>
        <v>3500</v>
      </c>
    </row>
    <row r="363" spans="1:8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Table1[[#This Row],[Cantidad]]*Table1[[#This Row],[Precio x unidad]]</f>
        <v>1900</v>
      </c>
    </row>
    <row r="364" spans="1:8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Table1[[#This Row],[Cantidad]]*Table1[[#This Row],[Precio x unidad]]</f>
        <v>1200</v>
      </c>
    </row>
    <row r="365" spans="1:8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Table1[[#This Row],[Cantidad]]*Table1[[#This Row],[Precio x unidad]]</f>
        <v>80</v>
      </c>
    </row>
    <row r="366" spans="1:8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Table1[[#This Row],[Cantidad]]*Table1[[#This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Table1[[#This Row],[Cantidad]]*Table1[[#This Row],[Precio x unidad]]</f>
        <v>1186.68</v>
      </c>
    </row>
    <row r="368" spans="1:8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Table1[[#This Row],[Cantidad]]*Table1[[#This Row],[Precio x unidad]]</f>
        <v>400</v>
      </c>
    </row>
    <row r="369" spans="1:8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Table1[[#This Row],[Cantidad]]*Table1[[#This Row],[Precio x unidad]]</f>
        <v>400</v>
      </c>
    </row>
    <row r="370" spans="1:8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Table1[[#This Row],[Cantidad]]*Table1[[#This Row],[Precio x unidad]]</f>
        <v>750</v>
      </c>
    </row>
    <row r="371" spans="1:8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Table1[[#This Row],[Cantidad]]*Table1[[#This Row],[Precio x unidad]]</f>
        <v>400</v>
      </c>
    </row>
    <row r="372" spans="1:8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Table1[[#This Row],[Cantidad]]*Table1[[#This Row],[Precio x unidad]]</f>
        <v>3500</v>
      </c>
    </row>
    <row r="373" spans="1:8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Table1[[#This Row],[Cantidad]]*Table1[[#This Row],[Precio x unidad]]</f>
        <v>519</v>
      </c>
    </row>
    <row r="374" spans="1:8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Table1[[#This Row],[Cantidad]]*Table1[[#This Row],[Precio x unidad]]</f>
        <v>400</v>
      </c>
    </row>
    <row r="375" spans="1:8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Table1[[#This Row],[Cantidad]]*Table1[[#This Row],[Precio x unidad]]</f>
        <v>1200</v>
      </c>
    </row>
    <row r="376" spans="1:8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Table1[[#This Row],[Cantidad]]*Table1[[#This Row],[Precio x unidad]]</f>
        <v>11560</v>
      </c>
    </row>
    <row r="377" spans="1:8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Table1[[#This Row],[Cantidad]]*Table1[[#This Row],[Precio x unidad]]</f>
        <v>400</v>
      </c>
    </row>
    <row r="378" spans="1:8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Table1[[#This Row],[Cantidad]]*Table1[[#This Row],[Precio x unidad]]</f>
        <v>762</v>
      </c>
    </row>
    <row r="379" spans="1:8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Table1[[#This Row],[Cantidad]]*Table1[[#This Row],[Precio x unidad]]</f>
        <v>3500</v>
      </c>
    </row>
    <row r="380" spans="1:8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Table1[[#This Row],[Cantidad]]*Table1[[#This Row],[Precio x unidad]]</f>
        <v>400</v>
      </c>
    </row>
    <row r="381" spans="1:8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Table1[[#This Row],[Cantidad]]*Table1[[#This Row],[Precio x unidad]]</f>
        <v>900</v>
      </c>
    </row>
    <row r="382" spans="1:8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Table1[[#This Row],[Cantidad]]*Table1[[#This Row],[Precio x unidad]]</f>
        <v>1000</v>
      </c>
    </row>
    <row r="383" spans="1:8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Table1[[#This Row],[Cantidad]]*Table1[[#This Row],[Precio x unidad]]</f>
        <v>1000</v>
      </c>
    </row>
    <row r="384" spans="1:8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Table1[[#This Row],[Cantidad]]*Table1[[#This Row],[Precio x unidad]]</f>
        <v>2800</v>
      </c>
    </row>
    <row r="385" spans="1:8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Table1[[#This Row],[Cantidad]]*Table1[[#This Row],[Precio x unidad]]</f>
        <v>1200</v>
      </c>
    </row>
    <row r="386" spans="1:8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Table1[[#This Row],[Cantidad]]*Table1[[#This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Table1[[#This Row],[Cantidad]]*Table1[[#This Row],[Precio x unidad]]</f>
        <v>1401.86</v>
      </c>
    </row>
    <row r="388" spans="1:8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Table1[[#This Row],[Cantidad]]*Table1[[#This Row],[Precio x unidad]]</f>
        <v>700</v>
      </c>
    </row>
    <row r="389" spans="1:8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Table1[[#This Row],[Cantidad]]*Table1[[#This Row],[Precio x unidad]]</f>
        <v>400</v>
      </c>
    </row>
    <row r="391" spans="1:8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Table1[[#This Row],[Cantidad]]*Table1[[#This Row],[Precio x unidad]]</f>
        <v>400</v>
      </c>
    </row>
    <row r="392" spans="1:8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Table1[[#This Row],[Cantidad]]*Table1[[#This Row],[Precio x unidad]]</f>
        <v>519</v>
      </c>
    </row>
    <row r="393" spans="1:8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Table1[[#This Row],[Cantidad]]*Table1[[#This Row],[Precio x unidad]]</f>
        <v>3500</v>
      </c>
    </row>
    <row r="394" spans="1:8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Table1[[#This Row],[Cantidad]]*Table1[[#This Row],[Precio x unidad]]</f>
        <v>11560</v>
      </c>
    </row>
    <row r="395" spans="1:8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Table1[[#This Row],[Cantidad]]*Table1[[#This Row],[Precio x unidad]]</f>
        <v>400</v>
      </c>
    </row>
    <row r="396" spans="1:8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Table1[[#This Row],[Cantidad]]*Table1[[#This Row],[Precio x unidad]]</f>
        <v>1900</v>
      </c>
    </row>
    <row r="397" spans="1:8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Table1[[#This Row],[Cantidad]]*Table1[[#This Row],[Precio x unidad]]</f>
        <v>2100</v>
      </c>
    </row>
    <row r="398" spans="1:8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Table1[[#This Row],[Cantidad]]*Table1[[#This Row],[Precio x unidad]]</f>
        <v>2800</v>
      </c>
    </row>
    <row r="399" spans="1:8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Table1[[#This Row],[Cantidad]]*Table1[[#This Row],[Precio x unidad]]</f>
        <v>800</v>
      </c>
    </row>
    <row r="400" spans="1:8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Table1[[#This Row],[Cantidad]]*Table1[[#This Row],[Precio x unidad]]</f>
        <v>800</v>
      </c>
    </row>
    <row r="401" spans="1:8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Table1[[#This Row],[Cantidad]]*Table1[[#This Row],[Precio x unidad]]</f>
        <v>400</v>
      </c>
    </row>
    <row r="402" spans="1:8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Table1[[#This Row],[Cantidad]]*Table1[[#This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Table1[[#This Row],[Cantidad]]*Table1[[#This Row],[Precio x unidad]]</f>
        <v>1298.33</v>
      </c>
    </row>
    <row r="404" spans="1:8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Table1[[#This Row],[Cantidad]]*Table1[[#This Row],[Precio x unidad]]</f>
        <v>400</v>
      </c>
    </row>
    <row r="405" spans="1:8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Table1[[#This Row],[Cantidad]]*Table1[[#This Row],[Precio x unidad]]</f>
        <v>700</v>
      </c>
    </row>
    <row r="406" spans="1:8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Table1[[#This Row],[Cantidad]]*Table1[[#This Row],[Precio x unidad]]</f>
        <v>400</v>
      </c>
    </row>
    <row r="407" spans="1:8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Table1[[#This Row],[Cantidad]]*Table1[[#This Row],[Precio x unidad]]</f>
        <v>403</v>
      </c>
    </row>
    <row r="408" spans="1:8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Table1[[#This Row],[Cantidad]]*Table1[[#This Row],[Precio x unidad]]</f>
        <v>400</v>
      </c>
    </row>
    <row r="409" spans="1:8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Table1[[#This Row],[Cantidad]]*Table1[[#This Row],[Precio x unidad]]</f>
        <v>519</v>
      </c>
    </row>
    <row r="410" spans="1:8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Table1[[#This Row],[Cantidad]]*Table1[[#This Row],[Precio x unidad]]</f>
        <v>3500</v>
      </c>
    </row>
    <row r="411" spans="1:8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Table1[[#This Row],[Cantidad]]*Table1[[#This Row],[Precio x unidad]]</f>
        <v>400</v>
      </c>
    </row>
    <row r="412" spans="1:8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Table1[[#This Row],[Cantidad]]*Table1[[#This Row],[Precio x unidad]]</f>
        <v>11560</v>
      </c>
    </row>
    <row r="413" spans="1:8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Table1[[#This Row],[Cantidad]]*Table1[[#This Row],[Precio x unidad]]</f>
        <v>400</v>
      </c>
    </row>
    <row r="414" spans="1:8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Table1[[#This Row],[Cantidad]]*Table1[[#This Row],[Precio x unidad]]</f>
        <v>2860</v>
      </c>
    </row>
    <row r="415" spans="1:8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Table1[[#This Row],[Cantidad]]*Table1[[#This Row],[Precio x unidad]]</f>
        <v>400</v>
      </c>
    </row>
    <row r="416" spans="1:8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Table1[[#This Row],[Cantidad]]*Table1[[#This Row],[Precio x unidad]]</f>
        <v>2100</v>
      </c>
    </row>
    <row r="417" spans="1:8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Table1[[#This Row],[Cantidad]]*Table1[[#This Row],[Precio x unidad]]</f>
        <v>3680</v>
      </c>
    </row>
    <row r="418" spans="1:8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Table1[[#This Row],[Cantidad]]*Table1[[#This Row],[Precio x unidad]]</f>
        <v>1600</v>
      </c>
    </row>
    <row r="419" spans="1:8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Table1[[#This Row],[Cantidad]]*Table1[[#This Row],[Precio x unidad]]</f>
        <v>1200</v>
      </c>
    </row>
    <row r="420" spans="1:8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Table1[[#This Row],[Cantidad]]*Table1[[#This Row],[Precio x unidad]]</f>
        <v>480</v>
      </c>
    </row>
    <row r="421" spans="1:8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Table1[[#This Row],[Cantidad]]*Table1[[#This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Table1[[#This Row],[Cantidad]]*Table1[[#This Row],[Precio x unidad]]</f>
        <v>1773.35</v>
      </c>
    </row>
    <row r="423" spans="1:8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Table1[[#This Row],[Cantidad]]*Table1[[#This Row],[Precio x unidad]]</f>
        <v>15180</v>
      </c>
    </row>
    <row r="424" spans="1:8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Table1[[#This Row],[Cantidad]]*Table1[[#This Row],[Precio x unidad]]</f>
        <v>400</v>
      </c>
    </row>
    <row r="425" spans="1:8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Table1[[#This Row],[Cantidad]]*Table1[[#This Row],[Precio x unidad]]</f>
        <v>690</v>
      </c>
    </row>
    <row r="426" spans="1:8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Table1[[#This Row],[Cantidad]]*Table1[[#This Row],[Precio x unidad]]</f>
        <v>14798</v>
      </c>
    </row>
    <row r="427" spans="1:8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Table1[[#This Row],[Cantidad]]*Table1[[#This Row],[Precio x unidad]]</f>
        <v>5250</v>
      </c>
    </row>
    <row r="428" spans="1:8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Table1[[#This Row],[Cantidad]]*Table1[[#This Row],[Precio x unidad]]</f>
        <v>400</v>
      </c>
    </row>
    <row r="429" spans="1:8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Table1[[#This Row],[Cantidad]]*Table1[[#This Row],[Precio x unidad]]</f>
        <v>400</v>
      </c>
    </row>
    <row r="430" spans="1:8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Table1[[#This Row],[Cantidad]]*Table1[[#This Row],[Precio x unidad]]</f>
        <v>3300.94</v>
      </c>
    </row>
    <row r="432" spans="1:8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Table1[[#This Row],[Cantidad]]*Table1[[#This Row],[Precio x unidad]]</f>
        <v>400</v>
      </c>
    </row>
    <row r="433" spans="1:8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Table1[[#This Row],[Cantidad]]*Table1[[#This Row],[Precio x unidad]]</f>
        <v>519</v>
      </c>
    </row>
    <row r="434" spans="1:8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Table1[[#This Row],[Cantidad]]*Table1[[#This Row],[Precio x unidad]]</f>
        <v>11560</v>
      </c>
    </row>
    <row r="435" spans="1:8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Table1[[#This Row],[Cantidad]]*Table1[[#This Row],[Precio x unidad]]</f>
        <v>2900</v>
      </c>
    </row>
    <row r="436" spans="1:8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Table1[[#This Row],[Cantidad]]*Table1[[#This Row],[Precio x unidad]]</f>
        <v>2000</v>
      </c>
    </row>
    <row r="437" spans="1:8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Table1[[#This Row],[Cantidad]]*Table1[[#This Row],[Precio x unidad]]</f>
        <v>400</v>
      </c>
    </row>
    <row r="438" spans="1:8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Table1[[#This Row],[Cantidad]]*Table1[[#This Row],[Precio x unidad]]</f>
        <v>400</v>
      </c>
    </row>
    <row r="439" spans="1:8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Table1[[#This Row],[Cantidad]]*Table1[[#This Row],[Precio x unidad]]</f>
        <v>2700</v>
      </c>
    </row>
    <row r="440" spans="1:8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Table1[[#This Row],[Cantidad]]*Table1[[#This Row],[Precio x unidad]]</f>
        <v>3600</v>
      </c>
    </row>
    <row r="441" spans="1:8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Table1[[#This Row],[Cantidad]]*Table1[[#This Row],[Precio x unidad]]</f>
        <v>400</v>
      </c>
    </row>
    <row r="442" spans="1:8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Table1[[#This Row],[Cantidad]]*Table1[[#This Row],[Precio x unidad]]</f>
        <v>1200</v>
      </c>
    </row>
    <row r="443" spans="1:8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Table1[[#This Row],[Cantidad]]*Table1[[#This Row],[Precio x unidad]]</f>
        <v>3500</v>
      </c>
    </row>
    <row r="444" spans="1:8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Table1[[#This Row],[Cantidad]]*Table1[[#This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Table1[[#This Row],[Cantidad]]*Table1[[#This Row],[Precio x unidad]]</f>
        <v>1719.76</v>
      </c>
    </row>
    <row r="446" spans="1:8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Table1[[#This Row],[Cantidad]]*Table1[[#This Row],[Precio x unidad]]</f>
        <v>684</v>
      </c>
    </row>
    <row r="447" spans="1:8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Table1[[#This Row],[Cantidad]]*Table1[[#This Row],[Precio x unidad]]</f>
        <v>145</v>
      </c>
    </row>
    <row r="448" spans="1:8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Table1[[#This Row],[Cantidad]]*Table1[[#This Row],[Precio x unidad]]</f>
        <v>25</v>
      </c>
    </row>
    <row r="449" spans="1:8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Table1[[#This Row],[Cantidad]]*Table1[[#This Row],[Precio x unidad]]</f>
        <v>20</v>
      </c>
    </row>
    <row r="450" spans="1:8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Table1[[#This Row],[Cantidad]]*Table1[[#This Row],[Precio x unidad]]</f>
        <v>15</v>
      </c>
    </row>
    <row r="451" spans="1:8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Table1[[#This Row],[Cantidad]]*Table1[[#This Row],[Precio x unidad]]</f>
        <v>400</v>
      </c>
    </row>
    <row r="452" spans="1:8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Table1[[#This Row],[Cantidad]]*Table1[[#This Row],[Precio x unidad]]</f>
        <v>1192.44</v>
      </c>
    </row>
    <row r="453" spans="1:8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Table1[[#This Row],[Cantidad]]*Table1[[#This Row],[Precio x unidad]]</f>
        <v>7000</v>
      </c>
    </row>
    <row r="454" spans="1:8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Table1[[#This Row],[Cantidad]]*Table1[[#This Row],[Precio x unidad]]</f>
        <v>1200</v>
      </c>
    </row>
    <row r="455" spans="1:8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Table1[[#This Row],[Cantidad]]*Table1[[#This Row],[Precio x unidad]]</f>
        <v>35</v>
      </c>
    </row>
    <row r="456" spans="1:8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Table1[[#This Row],[Cantidad]]*Table1[[#This Row],[Precio x unidad]]</f>
        <v>25</v>
      </c>
    </row>
    <row r="457" spans="1:8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Table1[[#This Row],[Cantidad]]*Table1[[#This Row],[Precio x unidad]]</f>
        <v>17</v>
      </c>
    </row>
    <row r="458" spans="1:8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Table1[[#This Row],[Cantidad]]*Table1[[#This Row],[Precio x unidad]]</f>
        <v>15</v>
      </c>
    </row>
    <row r="459" spans="1:8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Table1[[#This Row],[Cantidad]]*Table1[[#This Row],[Precio x unidad]]</f>
        <v>11560</v>
      </c>
    </row>
    <row r="460" spans="1:8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Table1[[#This Row],[Cantidad]]*Table1[[#This Row],[Precio x unidad]]</f>
        <v>740</v>
      </c>
    </row>
    <row r="461" spans="1:8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Table1[[#This Row],[Cantidad]]*Table1[[#This Row],[Precio x unidad]]</f>
        <v>400</v>
      </c>
    </row>
    <row r="462" spans="1:8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Table1[[#This Row],[Cantidad]]*Table1[[#This Row],[Precio x unidad]]</f>
        <v>569</v>
      </c>
    </row>
    <row r="463" spans="1:8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Table1[[#This Row],[Cantidad]]*Table1[[#This Row],[Precio x unidad]]</f>
        <v>3500</v>
      </c>
    </row>
    <row r="465" spans="1:8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Table1[[#This Row],[Cantidad]]*Table1[[#This Row],[Precio x unidad]]</f>
        <v>400</v>
      </c>
    </row>
    <row r="466" spans="1:8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Table1[[#This Row],[Cantidad]]*Table1[[#This Row],[Precio x unidad]]</f>
        <v>650</v>
      </c>
    </row>
    <row r="467" spans="1:8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Table1[[#This Row],[Cantidad]]*Table1[[#This Row],[Precio x unidad]]</f>
        <v>1050</v>
      </c>
    </row>
    <row r="468" spans="1:8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Table1[[#This Row],[Cantidad]]*Table1[[#This Row],[Precio x unidad]]</f>
        <v>1050</v>
      </c>
    </row>
    <row r="470" spans="1:8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Table1[[#This Row],[Cantidad]]*Table1[[#This Row],[Precio x unidad]]</f>
        <v>3350</v>
      </c>
    </row>
    <row r="471" spans="1:8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Table1[[#This Row],[Cantidad]]*Table1[[#This Row],[Precio x unidad]]</f>
        <v>3150</v>
      </c>
    </row>
    <row r="472" spans="1:8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Table1[[#This Row],[Cantidad]]*Table1[[#This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Table1[[#This Row],[Cantidad]]*Table1[[#This Row],[Precio x unidad]]</f>
        <v>1608.92</v>
      </c>
    </row>
    <row r="474" spans="1:8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Table1[[#This Row],[Cantidad]]*Table1[[#This Row],[Precio x unidad]]</f>
        <v>400</v>
      </c>
    </row>
    <row r="475" spans="1:8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Table1[[#This Row],[Cantidad]]*Table1[[#This Row],[Precio x unidad]]</f>
        <v>5000</v>
      </c>
    </row>
    <row r="476" spans="1:8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Table1[[#This Row],[Cantidad]]*Table1[[#This Row],[Precio x unidad]]</f>
        <v>1500</v>
      </c>
    </row>
    <row r="477" spans="1:8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Table1[[#This Row],[Cantidad]]*Table1[[#This Row],[Precio x unidad]]</f>
        <v>50</v>
      </c>
    </row>
    <row r="478" spans="1:8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Table1[[#This Row],[Cantidad]]*Table1[[#This Row],[Precio x unidad]]</f>
        <v>400</v>
      </c>
    </row>
    <row r="479" spans="1:8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Table1[[#This Row],[Cantidad]]*Table1[[#This Row],[Precio x unidad]]</f>
        <v>2150</v>
      </c>
    </row>
    <row r="480" spans="1:8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Table1[[#This Row],[Cantidad]]*Table1[[#This Row],[Precio x unidad]]</f>
        <v>39</v>
      </c>
    </row>
    <row r="482" spans="1:8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Table1[[#This Row],[Cantidad]]*Table1[[#This Row],[Precio x unidad]]</f>
        <v>812</v>
      </c>
    </row>
    <row r="483" spans="1:8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Table1[[#This Row],[Cantidad]]*Table1[[#This Row],[Precio x unidad]]</f>
        <v>11560</v>
      </c>
    </row>
    <row r="484" spans="1:8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Table1[[#This Row],[Cantidad]]*Table1[[#This Row],[Precio x unidad]]</f>
        <v>400</v>
      </c>
    </row>
    <row r="485" spans="1:8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Table1[[#This Row],[Cantidad]]*Table1[[#This Row],[Precio x unidad]]</f>
        <v>569</v>
      </c>
    </row>
    <row r="486" spans="1:8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Table1[[#This Row],[Cantidad]]*Table1[[#This Row],[Precio x unidad]]</f>
        <v>400</v>
      </c>
    </row>
    <row r="487" spans="1:8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Table1[[#This Row],[Cantidad]]*Table1[[#This Row],[Precio x unidad]]</f>
        <v>480</v>
      </c>
    </row>
    <row r="488" spans="1:8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Table1[[#This Row],[Cantidad]]*Table1[[#This Row],[Precio x unidad]]</f>
        <v>3980</v>
      </c>
    </row>
    <row r="489" spans="1:8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Table1[[#This Row],[Cantidad]]*Table1[[#This Row],[Precio x unidad]]</f>
        <v>3500</v>
      </c>
    </row>
    <row r="490" spans="1:8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Table1[[#This Row],[Cantidad]]*Table1[[#This Row],[Precio x unidad]]</f>
        <v>1280</v>
      </c>
    </row>
    <row r="491" spans="1:8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Table1[[#This Row],[Cantidad]]*Table1[[#This Row],[Precio x unidad]]</f>
        <v>800</v>
      </c>
    </row>
    <row r="492" spans="1:8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Table1[[#This Row],[Cantidad]]*Table1[[#This Row],[Precio x unidad]]</f>
        <v>800</v>
      </c>
    </row>
    <row r="493" spans="1:8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Table1[[#This Row],[Cantidad]]*Table1[[#This Row],[Precio x unidad]]</f>
        <v>2900</v>
      </c>
    </row>
    <row r="494" spans="1:8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Table1[[#This Row],[Cantidad]]*Table1[[#This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Table1[[#This Row],[Cantidad]]*Table1[[#This Row],[Precio x unidad]]</f>
        <v>1718.54</v>
      </c>
    </row>
    <row r="496" spans="1:8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Table1[[#This Row],[Cantidad]]*Table1[[#This Row],[Precio x unidad]]</f>
        <v>70</v>
      </c>
    </row>
    <row r="497" spans="1:8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Table1[[#This Row],[Cantidad]]*Table1[[#This Row],[Precio x unidad]]</f>
        <v>400</v>
      </c>
    </row>
    <row r="498" spans="1:8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Table1[[#This Row],[Cantidad]]*Table1[[#This Row],[Precio x unidad]]</f>
        <v>45</v>
      </c>
    </row>
    <row r="499" spans="1:8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Table1[[#This Row],[Cantidad]]*Table1[[#This Row],[Precio x unidad]]</f>
        <v>210</v>
      </c>
    </row>
    <row r="500" spans="1:8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Table1[[#This Row],[Cantidad]]*Table1[[#This Row],[Precio x unidad]]</f>
        <v>87</v>
      </c>
    </row>
    <row r="501" spans="1:8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Table1[[#This Row],[Cantidad]]*Table1[[#This Row],[Precio x unidad]]</f>
        <v>400</v>
      </c>
    </row>
    <row r="502" spans="1:8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Table1[[#This Row],[Cantidad]]*Table1[[#This Row],[Precio x unidad]]</f>
        <v>792</v>
      </c>
    </row>
    <row r="503" spans="1:8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Table1[[#This Row],[Cantidad]]*Table1[[#This Row],[Precio x unidad]]</f>
        <v>518.99</v>
      </c>
    </row>
    <row r="504" spans="1:8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Table1[[#This Row],[Cantidad]]*Table1[[#This Row],[Precio x unidad]]</f>
        <v>35</v>
      </c>
    </row>
    <row r="505" spans="1:8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Table1[[#This Row],[Cantidad]]*Table1[[#This Row],[Precio x unidad]]</f>
        <v>45</v>
      </c>
    </row>
    <row r="506" spans="1:8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Table1[[#This Row],[Cantidad]]*Table1[[#This Row],[Precio x unidad]]</f>
        <v>400</v>
      </c>
    </row>
    <row r="507" spans="1:8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Table1[[#This Row],[Cantidad]]*Table1[[#This Row],[Precio x unidad]]</f>
        <v>3500</v>
      </c>
    </row>
    <row r="508" spans="1:8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Table1[[#This Row],[Cantidad]]*Table1[[#This Row],[Precio x unidad]]</f>
        <v>400</v>
      </c>
    </row>
    <row r="509" spans="1:8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Table1[[#This Row],[Cantidad]]*Table1[[#This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Table1[[#This Row],[Cantidad]]*Table1[[#This Row],[Precio x unidad]]</f>
        <v>1822.07</v>
      </c>
    </row>
    <row r="511" spans="1:8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Table1[[#This Row],[Cantidad]]*Table1[[#This Row],[Precio x unidad]]</f>
        <v>3500</v>
      </c>
    </row>
    <row r="512" spans="1:8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Table1[[#This Row],[Cantidad]]*Table1[[#This Row],[Precio x unidad]]</f>
        <v>880</v>
      </c>
    </row>
    <row r="513" spans="1:8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Table1[[#This Row],[Cantidad]]*Table1[[#This Row],[Precio x unidad]]</f>
        <v>1600</v>
      </c>
    </row>
    <row r="514" spans="1:8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Table1[[#This Row],[Cantidad]]*Table1[[#This Row],[Precio x unidad]]</f>
        <v>2900</v>
      </c>
    </row>
    <row r="515" spans="1:8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Table1[[#This Row],[Cantidad]]*Table1[[#This Row],[Precio x unidad]]</f>
        <v>400</v>
      </c>
    </row>
    <row r="516" spans="1:8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Table1[[#This Row],[Cantidad]]*Table1[[#This Row],[Precio x unidad]]</f>
        <v>1200</v>
      </c>
    </row>
    <row r="517" spans="1:8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Table1[[#This Row],[Cantidad]]*Table1[[#This Row],[Precio x unidad]]</f>
        <v>4300</v>
      </c>
    </row>
    <row r="518" spans="1:8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Table1[[#This Row],[Cantidad]]*Table1[[#This Row],[Precio x unidad]]</f>
        <v>1200</v>
      </c>
    </row>
    <row r="519" spans="1:8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Table1[[#This Row],[Cantidad]]*Table1[[#This Row],[Precio x unidad]]</f>
        <v>400</v>
      </c>
    </row>
    <row r="520" spans="1:8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Table1[[#This Row],[Cantidad]]*Table1[[#This Row],[Precio x unidad]]</f>
        <v>713</v>
      </c>
    </row>
    <row r="521" spans="1:8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Table1[[#This Row],[Cantidad]]*Table1[[#This Row],[Precio x unidad]]</f>
        <v>400</v>
      </c>
    </row>
    <row r="523" spans="1:8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Table1[[#This Row],[Cantidad]]*Table1[[#This Row],[Precio x unidad]]</f>
        <v>2250</v>
      </c>
    </row>
    <row r="524" spans="1:8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Table1[[#This Row],[Cantidad]]*Table1[[#This Row],[Precio x unidad]]</f>
        <v>519</v>
      </c>
    </row>
    <row r="525" spans="1:8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Table1[[#This Row],[Cantidad]]*Table1[[#This Row],[Precio x unidad]]</f>
        <v>11560</v>
      </c>
    </row>
    <row r="526" spans="1:8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Table1[[#This Row],[Cantidad]]*Table1[[#This Row],[Precio x unidad]]</f>
        <v>400</v>
      </c>
    </row>
    <row r="527" spans="1:8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Table1[[#This Row],[Cantidad]]*Table1[[#This Row],[Precio x unidad]]</f>
        <v>400</v>
      </c>
    </row>
    <row r="528" spans="1:8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Table1[[#This Row],[Cantidad]]*Table1[[#This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Table1[[#This Row],[Cantidad]]*Table1[[#This Row],[Precio x unidad]]</f>
        <v>2110.33</v>
      </c>
    </row>
    <row r="530" spans="1:8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Table1[[#This Row],[Cantidad]]*Table1[[#This Row],[Precio x unidad]]</f>
        <v>1600</v>
      </c>
    </row>
    <row r="531" spans="1:8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Table1[[#This Row],[Cantidad]]*Table1[[#This Row],[Precio x unidad]]</f>
        <v>4100</v>
      </c>
    </row>
    <row r="532" spans="1:8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Table1[[#This Row],[Cantidad]]*Table1[[#This Row],[Precio x unidad]]</f>
        <v>800</v>
      </c>
    </row>
    <row r="533" spans="1:8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Table1[[#This Row],[Cantidad]]*Table1[[#This Row],[Precio x unidad]]</f>
        <v>1280</v>
      </c>
    </row>
    <row r="534" spans="1:8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Table1[[#This Row],[Cantidad]]*Table1[[#This Row],[Precio x unidad]]</f>
        <v>800</v>
      </c>
    </row>
    <row r="535" spans="1:8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Table1[[#This Row],[Cantidad]]*Table1[[#This Row],[Precio x unidad]]</f>
        <v>4380</v>
      </c>
    </row>
    <row r="536" spans="1:8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Table1[[#This Row],[Cantidad]]*Table1[[#This Row],[Precio x unidad]]</f>
        <v>1200</v>
      </c>
    </row>
    <row r="537" spans="1:8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Table1[[#This Row],[Cantidad]]*Table1[[#This Row],[Precio x unidad]]</f>
        <v>1850</v>
      </c>
    </row>
    <row r="538" spans="1:8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Table1[[#This Row],[Cantidad]]*Table1[[#This Row],[Precio x unidad]]</f>
        <v>400</v>
      </c>
    </row>
    <row r="539" spans="1:8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Table1[[#This Row],[Cantidad]]*Table1[[#This Row],[Precio x unidad]]</f>
        <v>400</v>
      </c>
    </row>
    <row r="540" spans="1:8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Table1[[#This Row],[Cantidad]]*Table1[[#This Row],[Precio x unidad]]</f>
        <v>600</v>
      </c>
    </row>
    <row r="541" spans="1:8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Table1[[#This Row],[Cantidad]]*Table1[[#This Row],[Precio x unidad]]</f>
        <v>400</v>
      </c>
    </row>
    <row r="542" spans="1:8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Table1[[#This Row],[Cantidad]]*Table1[[#This Row],[Precio x unidad]]</f>
        <v>2250</v>
      </c>
    </row>
    <row r="543" spans="1:8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Table1[[#This Row],[Cantidad]]*Table1[[#This Row],[Precio x unidad]]</f>
        <v>519</v>
      </c>
    </row>
    <row r="544" spans="1:8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Table1[[#This Row],[Cantidad]]*Table1[[#This Row],[Precio x unidad]]</f>
        <v>11560</v>
      </c>
    </row>
    <row r="545" spans="1:8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Table1[[#This Row],[Cantidad]]*Table1[[#This Row],[Precio x unidad]]</f>
        <v>400</v>
      </c>
    </row>
    <row r="546" spans="1:8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Table1[[#This Row],[Cantidad]]*Table1[[#This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Table1[[#This Row],[Cantidad]]*Table1[[#This Row],[Precio x unidad]]</f>
        <v>2041.31</v>
      </c>
    </row>
    <row r="548" spans="1:8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Table1[[#This Row],[Cantidad]]*Table1[[#This Row],[Precio x unidad]]</f>
        <v>1200</v>
      </c>
    </row>
    <row r="549" spans="1:8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Table1[[#This Row],[Cantidad]]*Table1[[#This Row],[Precio x unidad]]</f>
        <v>3700</v>
      </c>
    </row>
    <row r="550" spans="1:8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Table1[[#This Row],[Cantidad]]*Table1[[#This Row],[Precio x unidad]]</f>
        <v>800</v>
      </c>
    </row>
    <row r="551" spans="1:8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Table1[[#This Row],[Cantidad]]*Table1[[#This Row],[Precio x unidad]]</f>
        <v>800</v>
      </c>
    </row>
    <row r="552" spans="1:8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Table1[[#This Row],[Cantidad]]*Table1[[#This Row],[Precio x unidad]]</f>
        <v>800</v>
      </c>
    </row>
    <row r="553" spans="1:8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Table1[[#This Row],[Cantidad]]*Table1[[#This Row],[Precio x unidad]]</f>
        <v>4860</v>
      </c>
    </row>
    <row r="554" spans="1:8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Table1[[#This Row],[Cantidad]]*Table1[[#This Row],[Precio x unidad]]</f>
        <v>2000</v>
      </c>
    </row>
    <row r="555" spans="1:8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Table1[[#This Row],[Cantidad]]*Table1[[#This Row],[Precio x unidad]]</f>
        <v>2310</v>
      </c>
    </row>
    <row r="556" spans="1:8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Table1[[#This Row],[Cantidad]]*Table1[[#This Row],[Precio x unidad]]</f>
        <v>400</v>
      </c>
    </row>
    <row r="557" spans="1:8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Table1[[#This Row],[Cantidad]]*Table1[[#This Row],[Precio x unidad]]</f>
        <v>646</v>
      </c>
    </row>
    <row r="558" spans="1:8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Table1[[#This Row],[Cantidad]]*Table1[[#This Row],[Precio x unidad]]</f>
        <v>3000</v>
      </c>
    </row>
    <row r="559" spans="1:8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Table1[[#This Row],[Cantidad]]*Table1[[#This Row],[Precio x unidad]]</f>
        <v>4500</v>
      </c>
    </row>
    <row r="560" spans="1:8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Table1[[#This Row],[Cantidad]]*Table1[[#This Row],[Precio x unidad]]</f>
        <v>400</v>
      </c>
    </row>
    <row r="561" spans="1:8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Table1[[#This Row],[Cantidad]]*Table1[[#This Row],[Precio x unidad]]</f>
        <v>2250</v>
      </c>
    </row>
    <row r="562" spans="1:8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Table1[[#This Row],[Cantidad]]*Table1[[#This Row],[Precio x unidad]]</f>
        <v>400</v>
      </c>
    </row>
    <row r="563" spans="1:8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Table1[[#This Row],[Cantidad]]*Table1[[#This Row],[Precio x unidad]]</f>
        <v>620</v>
      </c>
    </row>
    <row r="564" spans="1:8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Table1[[#This Row],[Cantidad]]*Table1[[#This Row],[Precio x unidad]]</f>
        <v>11560</v>
      </c>
    </row>
    <row r="565" spans="1:8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Table1[[#This Row],[Cantidad]]*Table1[[#This Row],[Precio x unidad]]</f>
        <v>400</v>
      </c>
    </row>
    <row r="566" spans="1:8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Table1[[#This Row],[Cantidad]]*Table1[[#This Row],[Precio x unidad]]</f>
        <v>800</v>
      </c>
    </row>
    <row r="567" spans="1:8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Table1[[#This Row],[Cantidad]]*Table1[[#This Row],[Precio x unidad]]</f>
        <v>800</v>
      </c>
    </row>
    <row r="568" spans="1:8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Table1[[#This Row],[Cantidad]]*Table1[[#This Row],[Precio x unidad]]</f>
        <v>880</v>
      </c>
    </row>
    <row r="569" spans="1:8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Table1[[#This Row],[Cantidad]]*Table1[[#This Row],[Precio x unidad]]</f>
        <v>5300</v>
      </c>
    </row>
    <row r="570" spans="1:8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Table1[[#This Row],[Cantidad]]*Table1[[#This Row],[Precio x unidad]]</f>
        <v>2000</v>
      </c>
    </row>
    <row r="571" spans="1:8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Table1[[#This Row],[Cantidad]]*Table1[[#This Row],[Precio x unidad]]</f>
        <v>5100</v>
      </c>
    </row>
    <row r="572" spans="1:8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Table1[[#This Row],[Cantidad]]*Table1[[#This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Table1[[#This Row],[Cantidad]]*Table1[[#This Row],[Precio x unidad]]</f>
        <v>2313.3200000000002</v>
      </c>
    </row>
    <row r="574" spans="1:8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Table1[[#This Row],[Cantidad]]*Table1[[#This Row],[Precio x unidad]]</f>
        <v>2250</v>
      </c>
    </row>
    <row r="575" spans="1:8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Table1[[#This Row],[Cantidad]]*Table1[[#This Row],[Precio x unidad]]</f>
        <v>400</v>
      </c>
    </row>
    <row r="577" spans="1:8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Table1[[#This Row],[Cantidad]]*Table1[[#This Row],[Precio x unidad]]</f>
        <v>2250</v>
      </c>
    </row>
    <row r="578" spans="1:8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Table1[[#This Row],[Cantidad]]*Table1[[#This Row],[Precio x unidad]]</f>
        <v>400</v>
      </c>
    </row>
    <row r="579" spans="1:8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Table1[[#This Row],[Cantidad]]*Table1[[#This Row],[Precio x unidad]]</f>
        <v>620</v>
      </c>
    </row>
    <row r="580" spans="1:8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Table1[[#This Row],[Cantidad]]*Table1[[#This Row],[Precio x unidad]]</f>
        <v>11560</v>
      </c>
    </row>
    <row r="581" spans="1:8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Table1[[#This Row],[Cantidad]]*Table1[[#This Row],[Precio x unidad]]</f>
        <v>400</v>
      </c>
    </row>
    <row r="582" spans="1:8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Table1[[#This Row],[Cantidad]]*Table1[[#This Row],[Precio x unidad]]</f>
        <v>3200</v>
      </c>
    </row>
    <row r="583" spans="1:8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Table1[[#This Row],[Cantidad]]*Table1[[#This Row],[Precio x unidad]]</f>
        <v>200</v>
      </c>
    </row>
    <row r="584" spans="1:8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Table1[[#This Row],[Cantidad]]*Table1[[#This Row],[Precio x unidad]]</f>
        <v>1524</v>
      </c>
    </row>
    <row r="585" spans="1:8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Table1[[#This Row],[Cantidad]]*Table1[[#This Row],[Precio x unidad]]</f>
        <v>78</v>
      </c>
    </row>
    <row r="586" spans="1:8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Table1[[#This Row],[Cantidad]]*Table1[[#This Row],[Precio x unidad]]</f>
        <v>31</v>
      </c>
    </row>
    <row r="587" spans="1:8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Table1[[#This Row],[Cantidad]]*Table1[[#This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Table1[[#This Row],[Cantidad]]*Table1[[#This Row],[Precio x unidad]]</f>
        <v>2875.64</v>
      </c>
    </row>
    <row r="589" spans="1:8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Table1[[#This Row],[Cantidad]]*Table1[[#This Row],[Precio x unidad]]</f>
        <v>2250</v>
      </c>
    </row>
    <row r="590" spans="1:8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Table1[[#This Row],[Cantidad]]*Table1[[#This Row],[Precio x unidad]]</f>
        <v>800</v>
      </c>
    </row>
    <row r="591" spans="1:8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Table1[[#This Row],[Cantidad]]*Table1[[#This Row],[Precio x unidad]]</f>
        <v>2400</v>
      </c>
    </row>
    <row r="592" spans="1:8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Table1[[#This Row],[Cantidad]]*Table1[[#This Row],[Precio x unidad]]</f>
        <v>6980</v>
      </c>
    </row>
    <row r="593" spans="1:8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Table1[[#This Row],[Cantidad]]*Table1[[#This Row],[Precio x unidad]]</f>
        <v>800</v>
      </c>
    </row>
    <row r="594" spans="1:8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Table1[[#This Row],[Cantidad]]*Table1[[#This Row],[Precio x unidad]]</f>
        <v>2080</v>
      </c>
    </row>
    <row r="595" spans="1:8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Table1[[#This Row],[Cantidad]]*Table1[[#This Row],[Precio x unidad]]</f>
        <v>2500</v>
      </c>
    </row>
    <row r="596" spans="1:8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Table1[[#This Row],[Cantidad]]*Table1[[#This Row],[Precio x unidad]]</f>
        <v>4860</v>
      </c>
    </row>
    <row r="597" spans="1:8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Table1[[#This Row],[Cantidad]]*Table1[[#This Row],[Precio x unidad]]</f>
        <v>2640</v>
      </c>
    </row>
    <row r="598" spans="1:8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Table1[[#This Row],[Cantidad]]*Table1[[#This Row],[Precio x unidad]]</f>
        <v>400</v>
      </c>
    </row>
    <row r="599" spans="1:8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Table1[[#This Row],[Cantidad]]*Table1[[#This Row],[Precio x unidad]]</f>
        <v>400</v>
      </c>
    </row>
    <row r="600" spans="1:8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Table1[[#This Row],[Cantidad]]*Table1[[#This Row],[Precio x unidad]]</f>
        <v>5000</v>
      </c>
    </row>
    <row r="601" spans="1:8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Table1[[#This Row],[Cantidad]]*Table1[[#This Row],[Precio x unidad]]</f>
        <v>2250</v>
      </c>
    </row>
    <row r="602" spans="1:8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Table1[[#This Row],[Cantidad]]*Table1[[#This Row],[Precio x unidad]]</f>
        <v>400</v>
      </c>
    </row>
    <row r="603" spans="1:8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Table1[[#This Row],[Cantidad]]*Table1[[#This Row],[Precio x unidad]]</f>
        <v>569.99</v>
      </c>
    </row>
    <row r="604" spans="1:8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Table1[[#This Row],[Cantidad]]*Table1[[#This Row],[Precio x unidad]]</f>
        <v>659</v>
      </c>
    </row>
    <row r="605" spans="1:8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Table1[[#This Row],[Cantidad]]*Table1[[#This Row],[Precio x unidad]]</f>
        <v>400</v>
      </c>
    </row>
    <row r="606" spans="1:8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Table1[[#This Row],[Cantidad]]*Table1[[#This Row],[Precio x unidad]]</f>
        <v>21</v>
      </c>
    </row>
    <row r="607" spans="1:8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Table1[[#This Row],[Cantidad]]*Table1[[#This Row],[Precio x unidad]]</f>
        <v>11560</v>
      </c>
    </row>
    <row r="608" spans="1:8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Table1[[#This Row],[Cantidad]]*Table1[[#This Row],[Precio x unidad]]</f>
        <v>11560</v>
      </c>
    </row>
    <row r="609" spans="1:8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Table1[[#This Row],[Cantidad]]*Table1[[#This Row],[Precio x unidad]]</f>
        <v>3999</v>
      </c>
    </row>
    <row r="610" spans="1:8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Table1[[#This Row],[Cantidad]]*Table1[[#This Row],[Precio x unidad]]</f>
        <v>2200</v>
      </c>
    </row>
    <row r="611" spans="1:8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Table1[[#This Row],[Cantidad]]*Table1[[#This Row],[Precio x unidad]]</f>
        <v>400</v>
      </c>
    </row>
    <row r="612" spans="1:8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Table1[[#This Row],[Cantidad]]*Table1[[#This Row],[Precio x unidad]]</f>
        <v>143</v>
      </c>
    </row>
    <row r="613" spans="1:8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Table1[[#This Row],[Cantidad]]*Table1[[#This Row],[Precio x unidad]]</f>
        <v>85</v>
      </c>
    </row>
    <row r="614" spans="1:8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Table1[[#This Row],[Cantidad]]*Table1[[#This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Table1[[#This Row],[Cantidad]]*Table1[[#This Row],[Precio x unidad]]</f>
        <v>3155.78</v>
      </c>
    </row>
    <row r="616" spans="1:8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Table1[[#This Row],[Cantidad]]*Table1[[#This Row],[Precio x unidad]]</f>
        <v>2500</v>
      </c>
    </row>
    <row r="617" spans="1:8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Table1[[#This Row],[Cantidad]]*Table1[[#This Row],[Precio x unidad]]</f>
        <v>320</v>
      </c>
    </row>
    <row r="618" spans="1:8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Table1[[#This Row],[Cantidad]]*Table1[[#This Row],[Precio x unidad]]</f>
        <v>400</v>
      </c>
    </row>
    <row r="619" spans="1:8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Table1[[#This Row],[Cantidad]]*Table1[[#This Row],[Precio x unidad]]</f>
        <v>80</v>
      </c>
    </row>
    <row r="620" spans="1:8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Table1[[#This Row],[Cantidad]]*Table1[[#This Row],[Precio x unidad]]</f>
        <v>80</v>
      </c>
    </row>
    <row r="621" spans="1:8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Table1[[#This Row],[Cantidad]]*Table1[[#This Row],[Precio x unidad]]</f>
        <v>160</v>
      </c>
    </row>
    <row r="622" spans="1:8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Table1[[#This Row],[Cantidad]]*Table1[[#This Row],[Precio x unidad]]</f>
        <v>160</v>
      </c>
    </row>
    <row r="623" spans="1:8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Table1[[#This Row],[Cantidad]]*Table1[[#This Row],[Precio x unidad]]</f>
        <v>1600</v>
      </c>
    </row>
    <row r="624" spans="1:8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Table1[[#This Row],[Cantidad]]*Table1[[#This Row],[Precio x unidad]]</f>
        <v>1600</v>
      </c>
    </row>
    <row r="625" spans="1:12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Table1[[#This Row],[Cantidad]]*Table1[[#This Row],[Precio x unidad]]</f>
        <v>7700</v>
      </c>
    </row>
    <row r="626" spans="1:12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Table1[[#This Row],[Cantidad]]*Table1[[#This Row],[Precio x unidad]]</f>
        <v>2400</v>
      </c>
    </row>
    <row r="628" spans="1:12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Table1[[#This Row],[Cantidad]]*Table1[[#This Row],[Precio x unidad]]</f>
        <v>5100</v>
      </c>
    </row>
    <row r="629" spans="1:12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Table1[[#This Row],[Cantidad]]*Table1[[#This Row],[Precio x unidad]]</f>
        <v>2000</v>
      </c>
      <c r="K629" s="2"/>
      <c r="L629" s="2"/>
    </row>
    <row r="630" spans="1:12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Table1[[#This Row],[Cantidad]]*Table1[[#This Row],[Precio x unidad]]</f>
        <v>400</v>
      </c>
    </row>
    <row r="631" spans="1:12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Table1[[#This Row],[Cantidad]]*Table1[[#This Row],[Precio x unidad]]</f>
        <v>400</v>
      </c>
    </row>
    <row r="632" spans="1:12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Table1[[#This Row],[Cantidad]]*Table1[[#This Row],[Precio x unidad]]</f>
        <v>700</v>
      </c>
    </row>
    <row r="633" spans="1:12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Table1[[#This Row],[Cantidad]]*Table1[[#This Row],[Precio x unidad]]</f>
        <v>792</v>
      </c>
    </row>
    <row r="634" spans="1:12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Table1[[#This Row],[Cantidad]]*Table1[[#This Row],[Precio x unidad]]</f>
        <v>15000</v>
      </c>
    </row>
    <row r="635" spans="1:12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Table1[[#This Row],[Cantidad]]*Table1[[#This Row],[Precio x unidad]]</f>
        <v>60</v>
      </c>
    </row>
    <row r="636" spans="1:12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Table1[[#This Row],[Cantidad]]*Table1[[#This Row],[Precio x unidad]]</f>
        <v>570</v>
      </c>
    </row>
    <row r="637" spans="1:12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Table1[[#This Row],[Cantidad]]*Table1[[#This Row],[Precio x unidad]]</f>
        <v>2250</v>
      </c>
    </row>
    <row r="638" spans="1:12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Table1[[#This Row],[Cantidad]]*Table1[[#This Row],[Precio x unidad]]</f>
        <v>2150</v>
      </c>
    </row>
    <row r="639" spans="1:12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Table1[[#This Row],[Cantidad]]*Table1[[#This Row],[Precio x unidad]]</f>
        <v>447.44</v>
      </c>
    </row>
    <row r="640" spans="1:12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Table1[[#This Row],[Cantidad]]*Table1[[#This Row],[Precio x unidad]]</f>
        <v>400</v>
      </c>
    </row>
    <row r="641" spans="1:8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Table1[[#This Row],[Cantidad]]*Table1[[#This Row],[Precio x unidad]]</f>
        <v>400</v>
      </c>
    </row>
    <row r="642" spans="1:8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Table1[[#This Row],[Cantidad]]*Table1[[#This Row],[Precio x unidad]]</f>
        <v>5000</v>
      </c>
    </row>
    <row r="643" spans="1:8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Table1[[#This Row],[Cantidad]]*Table1[[#This Row],[Precio x unidad]]</f>
        <v>400</v>
      </c>
    </row>
    <row r="644" spans="1:8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Table1[[#This Row],[Cantidad]]*Table1[[#This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Table1[[#This Row],[Cantidad]]*Table1[[#This Row],[Precio x unidad]]</f>
        <v>2619.86</v>
      </c>
    </row>
    <row r="646" spans="1:8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Table1[[#This Row],[Cantidad]]*Table1[[#This Row],[Precio x unidad]]</f>
        <v>2500</v>
      </c>
    </row>
    <row r="647" spans="1:8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Table1[[#This Row],[Cantidad]]*Table1[[#This Row],[Precio x unidad]]</f>
        <v>1600</v>
      </c>
    </row>
    <row r="648" spans="1:8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Table1[[#This Row],[Cantidad]]*Table1[[#This Row],[Precio x unidad]]</f>
        <v>5700</v>
      </c>
    </row>
    <row r="649" spans="1:8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Table1[[#This Row],[Cantidad]]*Table1[[#This Row],[Precio x unidad]]</f>
        <v>800</v>
      </c>
    </row>
    <row r="650" spans="1:8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Table1[[#This Row],[Cantidad]]*Table1[[#This Row],[Precio x unidad]]</f>
        <v>1200</v>
      </c>
    </row>
    <row r="651" spans="1:8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Table1[[#This Row],[Cantidad]]*Table1[[#This Row],[Precio x unidad]]</f>
        <v>800</v>
      </c>
    </row>
    <row r="652" spans="1:8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Table1[[#This Row],[Cantidad]]*Table1[[#This Row],[Precio x unidad]]</f>
        <v>1200</v>
      </c>
    </row>
    <row r="653" spans="1:8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Table1[[#This Row],[Cantidad]]*Table1[[#This Row],[Precio x unidad]]</f>
        <v>5580</v>
      </c>
    </row>
    <row r="654" spans="1:8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Table1[[#This Row],[Cantidad]]*Table1[[#This Row],[Precio x unidad]]</f>
        <v>7000</v>
      </c>
    </row>
    <row r="655" spans="1:8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Table1[[#This Row],[Cantidad]]*Table1[[#This Row],[Precio x unidad]]</f>
        <v>732</v>
      </c>
    </row>
    <row r="656" spans="1:8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Table1[[#This Row],[Cantidad]]*Table1[[#This Row],[Precio x unidad]]</f>
        <v>20</v>
      </c>
    </row>
    <row r="657" spans="1:8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Table1[[#This Row],[Cantidad]]*Table1[[#This Row],[Precio x unidad]]</f>
        <v>56</v>
      </c>
    </row>
    <row r="658" spans="1:8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Table1[[#This Row],[Cantidad]]*Table1[[#This Row],[Precio x unidad]]</f>
        <v>400</v>
      </c>
    </row>
    <row r="659" spans="1:8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Table1[[#This Row],[Cantidad]]*Table1[[#This Row],[Precio x unidad]]</f>
        <v>400</v>
      </c>
    </row>
    <row r="660" spans="1:8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Table1[[#This Row],[Cantidad]]*Table1[[#This Row],[Precio x unidad]]</f>
        <v>672</v>
      </c>
    </row>
    <row r="661" spans="1:8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Table1[[#This Row],[Cantidad]]*Table1[[#This Row],[Precio x unidad]]</f>
        <v>2250</v>
      </c>
    </row>
    <row r="662" spans="1:8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Table1[[#This Row],[Cantidad]]*Table1[[#This Row],[Precio x unidad]]</f>
        <v>1950</v>
      </c>
    </row>
    <row r="663" spans="1:8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Table1[[#This Row],[Cantidad]]*Table1[[#This Row],[Precio x unidad]]</f>
        <v>400</v>
      </c>
    </row>
    <row r="664" spans="1:8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Table1[[#This Row],[Cantidad]]*Table1[[#This Row],[Precio x unidad]]</f>
        <v>620.01</v>
      </c>
    </row>
    <row r="665" spans="1:8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Table1[[#This Row],[Cantidad]]*Table1[[#This Row],[Precio x unidad]]</f>
        <v>11560</v>
      </c>
    </row>
    <row r="666" spans="1:8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Table1[[#This Row],[Cantidad]]*Table1[[#This Row],[Precio x unidad]]</f>
        <v>50</v>
      </c>
    </row>
    <row r="667" spans="1:8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Table1[[#This Row],[Cantidad]]*Table1[[#This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Table1[[#This Row],[Cantidad]]*Table1[[#This Row],[Precio x unidad]]</f>
        <v>3128.38</v>
      </c>
    </row>
    <row r="669" spans="1:8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Table1[[#This Row],[Cantidad]]*Table1[[#This Row],[Precio x unidad]]</f>
        <v>2750</v>
      </c>
    </row>
    <row r="670" spans="1:8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Table1[[#This Row],[Cantidad]]*Table1[[#This Row],[Precio x unidad]]</f>
        <v>400</v>
      </c>
    </row>
    <row r="671" spans="1:8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Table1[[#This Row],[Cantidad]]*Table1[[#This Row],[Precio x unidad]]</f>
        <v>2000</v>
      </c>
    </row>
    <row r="672" spans="1:8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Table1[[#This Row],[Cantidad]]*Table1[[#This Row],[Precio x unidad]]</f>
        <v>5500</v>
      </c>
    </row>
    <row r="673" spans="1:8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Table1[[#This Row],[Cantidad]]*Table1[[#This Row],[Precio x unidad]]</f>
        <v>1600</v>
      </c>
    </row>
    <row r="674" spans="1:8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Table1[[#This Row],[Cantidad]]*Table1[[#This Row],[Precio x unidad]]</f>
        <v>8100</v>
      </c>
    </row>
    <row r="675" spans="1:8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Table1[[#This Row],[Cantidad]]*Table1[[#This Row],[Precio x unidad]]</f>
        <v>1200</v>
      </c>
    </row>
    <row r="676" spans="1:8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Table1[[#This Row],[Cantidad]]*Table1[[#This Row],[Precio x unidad]]</f>
        <v>1200</v>
      </c>
    </row>
    <row r="677" spans="1:8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Table1[[#This Row],[Cantidad]]*Table1[[#This Row],[Precio x unidad]]</f>
        <v>2000</v>
      </c>
    </row>
    <row r="678" spans="1:8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Table1[[#This Row],[Cantidad]]*Table1[[#This Row],[Precio x unidad]]</f>
        <v>800</v>
      </c>
    </row>
    <row r="679" spans="1:8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Table1[[#This Row],[Cantidad]]*Table1[[#This Row],[Precio x unidad]]</f>
        <v>2500</v>
      </c>
    </row>
    <row r="680" spans="1:8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Table1[[#This Row],[Cantidad]]*Table1[[#This Row],[Precio x unidad]]</f>
        <v>400</v>
      </c>
    </row>
    <row r="681" spans="1:8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Table1[[#This Row],[Cantidad]]*Table1[[#This Row],[Precio x unidad]]</f>
        <v>70</v>
      </c>
    </row>
    <row r="682" spans="1:8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Table1[[#This Row],[Cantidad]]*Table1[[#This Row],[Precio x unidad]]</f>
        <v>29</v>
      </c>
    </row>
    <row r="683" spans="1:8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Table1[[#This Row],[Cantidad]]*Table1[[#This Row],[Precio x unidad]]</f>
        <v>792</v>
      </c>
    </row>
    <row r="684" spans="1:8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Table1[[#This Row],[Cantidad]]*Table1[[#This Row],[Precio x unidad]]</f>
        <v>400</v>
      </c>
    </row>
    <row r="685" spans="1:8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Table1[[#This Row],[Cantidad]]*Table1[[#This Row],[Precio x unidad]]</f>
        <v>620</v>
      </c>
    </row>
    <row r="686" spans="1:8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Table1[[#This Row],[Cantidad]]*Table1[[#This Row],[Precio x unidad]]</f>
        <v>400</v>
      </c>
    </row>
    <row r="687" spans="1:8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Table1[[#This Row],[Cantidad]]*Table1[[#This Row],[Precio x unidad]]</f>
        <v>15000</v>
      </c>
    </row>
    <row r="688" spans="1:8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Table1[[#This Row],[Cantidad]]*Table1[[#This Row],[Precio x unidad]]</f>
        <v>5000</v>
      </c>
    </row>
    <row r="689" spans="1:8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Table1[[#This Row],[Cantidad]]*Table1[[#This Row],[Precio x unidad]]</f>
        <v>11560</v>
      </c>
    </row>
    <row r="690" spans="1:8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Table1[[#This Row],[Cantidad]]*Table1[[#This Row],[Precio x unidad]]</f>
        <v>400</v>
      </c>
    </row>
    <row r="691" spans="1:8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Table1[[#This Row],[Cantidad]]*Table1[[#This Row],[Precio x unidad]]</f>
        <v>50</v>
      </c>
    </row>
    <row r="692" spans="1:8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Table1[[#This Row],[Cantidad]]*Table1[[#This Row],[Precio x unidad]]</f>
        <v>2400</v>
      </c>
    </row>
    <row r="693" spans="1:8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Table1[[#This Row],[Cantidad]]*Table1[[#This Row],[Precio x unidad]]</f>
        <v>2000</v>
      </c>
    </row>
    <row r="694" spans="1:8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Table1[[#This Row],[Cantidad]]*Table1[[#This Row],[Precio x unidad]]</f>
        <v>1600</v>
      </c>
    </row>
    <row r="695" spans="1:8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Table1[[#This Row],[Cantidad]]*Table1[[#This Row],[Precio x unidad]]</f>
        <v>8100</v>
      </c>
    </row>
    <row r="696" spans="1:8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Table1[[#This Row],[Cantidad]]*Table1[[#This Row],[Precio x unidad]]</f>
        <v>6300</v>
      </c>
    </row>
    <row r="697" spans="1:8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Table1[[#This Row],[Cantidad]]*Table1[[#This Row],[Precio x unidad]]</f>
        <v>800</v>
      </c>
    </row>
    <row r="698" spans="1:8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Table1[[#This Row],[Cantidad]]*Table1[[#This Row],[Precio x unidad]]</f>
        <v>1200</v>
      </c>
    </row>
    <row r="699" spans="1:8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Table1[[#This Row],[Cantidad]]*Table1[[#This Row],[Precio x unidad]]</f>
        <v>2400</v>
      </c>
    </row>
    <row r="700" spans="1:8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Table1[[#This Row],[Cantidad]]*Table1[[#This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Table1[[#This Row],[Cantidad]]*Table1[[#This Row],[Precio x unidad]]</f>
        <v>3295.85</v>
      </c>
    </row>
    <row r="702" spans="1:8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Table1[[#This Row],[Cantidad]]*Table1[[#This Row],[Precio x unidad]]</f>
        <v>2500</v>
      </c>
    </row>
    <row r="703" spans="1:8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Table1[[#This Row],[Cantidad]]*Table1[[#This Row],[Precio x unidad]]</f>
        <v>3000</v>
      </c>
    </row>
    <row r="704" spans="1:8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Table1[[#This Row],[Cantidad]]*Table1[[#This Row],[Precio x unidad]]</f>
        <v>732</v>
      </c>
    </row>
    <row r="705" spans="1:8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Table1[[#This Row],[Cantidad]]*Table1[[#This Row],[Precio x unidad]]</f>
        <v>30000</v>
      </c>
    </row>
    <row r="706" spans="1:8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Table1[[#This Row],[Cantidad]]*Table1[[#This Row],[Precio x unidad]]</f>
        <v>400</v>
      </c>
    </row>
    <row r="707" spans="1:8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Table1[[#This Row],[Cantidad]]*Table1[[#This Row],[Precio x unidad]]</f>
        <v>735</v>
      </c>
    </row>
    <row r="708" spans="1:8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Table1[[#This Row],[Cantidad]]*Table1[[#This Row],[Precio x unidad]]</f>
        <v>1600</v>
      </c>
    </row>
    <row r="709" spans="1:8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Table1[[#This Row],[Cantidad]]*Table1[[#This Row],[Precio x unidad]]</f>
        <v>400</v>
      </c>
    </row>
    <row r="710" spans="1:8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Table1[[#This Row],[Cantidad]]*Table1[[#This Row],[Precio x unidad]]</f>
        <v>660.01</v>
      </c>
    </row>
    <row r="711" spans="1:8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Table1[[#This Row],[Cantidad]]*Table1[[#This Row],[Precio x unidad]]</f>
        <v>2453.3000000000002</v>
      </c>
    </row>
    <row r="712" spans="1:8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Table1[[#This Row],[Cantidad]]*Table1[[#This Row],[Precio x unidad]]</f>
        <v>400</v>
      </c>
    </row>
    <row r="713" spans="1:8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Table1[[#This Row],[Cantidad]]*Table1[[#This Row],[Precio x unidad]]</f>
        <v>11560</v>
      </c>
    </row>
    <row r="714" spans="1:8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Table1[[#This Row],[Cantidad]]*Table1[[#This Row],[Precio x unidad]]</f>
        <v>50</v>
      </c>
    </row>
    <row r="715" spans="1:8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Table1[[#This Row],[Cantidad]]*Table1[[#This Row],[Precio x unidad]]</f>
        <v>53</v>
      </c>
    </row>
    <row r="716" spans="1:8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Table1[[#This Row],[Cantidad]]*Table1[[#This Row],[Precio x unidad]]</f>
        <v>400</v>
      </c>
    </row>
    <row r="717" spans="1:8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Table1[[#This Row],[Cantidad]]*Table1[[#This Row],[Precio x unidad]]</f>
        <v>123</v>
      </c>
    </row>
    <row r="718" spans="1:8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Table1[[#This Row],[Cantidad]]*Table1[[#This Row],[Precio x unidad]]</f>
        <v>4998</v>
      </c>
    </row>
    <row r="719" spans="1:8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Table1[[#This Row],[Cantidad]]*Table1[[#This Row],[Precio x unidad]]</f>
        <v>2000</v>
      </c>
    </row>
    <row r="720" spans="1:8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Table1[[#This Row],[Cantidad]]*Table1[[#This Row],[Precio x unidad]]</f>
        <v>2000</v>
      </c>
    </row>
    <row r="721" spans="1:8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Table1[[#This Row],[Cantidad]]*Table1[[#This Row],[Precio x unidad]]</f>
        <v>2000</v>
      </c>
    </row>
    <row r="722" spans="1:8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Table1[[#This Row],[Cantidad]]*Table1[[#This Row],[Precio x unidad]]</f>
        <v>7700</v>
      </c>
    </row>
    <row r="723" spans="1:8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Table1[[#This Row],[Cantidad]]*Table1[[#This Row],[Precio x unidad]]</f>
        <v>5900</v>
      </c>
    </row>
    <row r="724" spans="1:8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Table1[[#This Row],[Cantidad]]*Table1[[#This Row],[Precio x unidad]]</f>
        <v>800</v>
      </c>
    </row>
    <row r="725" spans="1:8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Table1[[#This Row],[Cantidad]]*Table1[[#This Row],[Precio x unidad]]</f>
        <v>1200</v>
      </c>
    </row>
    <row r="726" spans="1:8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Table1[[#This Row],[Cantidad]]*Table1[[#This Row],[Precio x unidad]]</f>
        <v>2800</v>
      </c>
    </row>
    <row r="727" spans="1:8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Table1[[#This Row],[Cantidad]]*Table1[[#This Row],[Precio x unidad]]</f>
        <v>2500</v>
      </c>
    </row>
    <row r="728" spans="1:8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Table1[[#This Row],[Cantidad]]*Table1[[#This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Table1[[#This Row],[Cantidad]]*Table1[[#This Row],[Precio x unidad]]</f>
        <v>3302.96</v>
      </c>
    </row>
    <row r="730" spans="1:8" x14ac:dyDescent="0.4">
      <c r="A730" s="3"/>
      <c r="G730" s="23"/>
      <c r="H730" s="4">
        <f>Table1[[#This Row],[Cantidad]]*Table1[[#This Row],[Precio x unidad]]</f>
        <v>0</v>
      </c>
    </row>
    <row r="731" spans="1:8" x14ac:dyDescent="0.4">
      <c r="A731" s="3"/>
      <c r="G731" s="23"/>
      <c r="H731" s="4">
        <f>Table1[[#This Row],[Cantidad]]*Table1[[#This Row],[Precio x unidad]]</f>
        <v>0</v>
      </c>
    </row>
    <row r="732" spans="1:8" x14ac:dyDescent="0.4">
      <c r="A732" s="3"/>
      <c r="G732" s="23"/>
      <c r="H732" s="4">
        <f>Table1[[#This Row],[Cantidad]]*Table1[[#This Row],[Precio x unidad]]</f>
        <v>0</v>
      </c>
    </row>
    <row r="733" spans="1:8" x14ac:dyDescent="0.4">
      <c r="A733" s="3"/>
      <c r="G733" s="23"/>
      <c r="H733" s="4">
        <f>Table1[[#This Row],[Cantidad]]*Table1[[#This Row],[Precio x unidad]]</f>
        <v>0</v>
      </c>
    </row>
    <row r="734" spans="1:8" x14ac:dyDescent="0.4">
      <c r="A734" s="3"/>
      <c r="G734" s="23"/>
      <c r="H734" s="4">
        <f>Table1[[#This Row],[Cantidad]]*Table1[[#This Row],[Precio x unidad]]</f>
        <v>0</v>
      </c>
    </row>
    <row r="735" spans="1:8" x14ac:dyDescent="0.4">
      <c r="A735" s="3"/>
      <c r="G735" s="23"/>
      <c r="H735" s="4">
        <f>Table1[[#This Row],[Cantidad]]*Table1[[#This Row],[Precio x unidad]]</f>
        <v>0</v>
      </c>
    </row>
    <row r="736" spans="1:8" x14ac:dyDescent="0.4">
      <c r="A736" s="3"/>
      <c r="G736" s="23"/>
      <c r="H736" s="4">
        <f>Table1[[#This Row],[Cantidad]]*Table1[[#This Row],[Precio x unidad]]</f>
        <v>0</v>
      </c>
    </row>
    <row r="737" spans="1:8" x14ac:dyDescent="0.4">
      <c r="A737" s="3" t="s">
        <v>10</v>
      </c>
      <c r="G737" s="6"/>
      <c r="H737" s="4">
        <f>SUM(Table1[Total])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3E6A-B6F4-4C28-81F3-1B94925F9DDA}">
  <dimension ref="A3:P82"/>
  <sheetViews>
    <sheetView topLeftCell="A52" workbookViewId="0">
      <selection activeCell="H45" sqref="H45"/>
    </sheetView>
  </sheetViews>
  <sheetFormatPr baseColWidth="10" defaultColWidth="8.84375" defaultRowHeight="14.6" x14ac:dyDescent="0.4"/>
  <cols>
    <col min="1" max="1" width="12.07421875" bestFit="1" customWidth="1"/>
    <col min="2" max="2" width="14.4609375" bestFit="1" customWidth="1"/>
    <col min="3" max="4" width="13.69140625" bestFit="1" customWidth="1"/>
    <col min="5" max="5" width="14" bestFit="1" customWidth="1"/>
    <col min="6" max="7" width="12.53515625" bestFit="1" customWidth="1"/>
    <col min="8" max="8" width="14.53515625" bestFit="1" customWidth="1"/>
    <col min="9" max="9" width="13.69140625" bestFit="1" customWidth="1"/>
    <col min="10" max="10" width="11.84375" bestFit="1" customWidth="1"/>
    <col min="11" max="11" width="10.23046875" bestFit="1" customWidth="1"/>
    <col min="12" max="12" width="12.23046875" bestFit="1" customWidth="1"/>
    <col min="13" max="13" width="12.69140625" bestFit="1" customWidth="1"/>
    <col min="14" max="14" width="9.3046875" bestFit="1" customWidth="1"/>
    <col min="15" max="15" width="12.23046875" bestFit="1" customWidth="1"/>
    <col min="16" max="16" width="9.3046875" bestFit="1" customWidth="1"/>
    <col min="17" max="17" width="6.53515625" bestFit="1" customWidth="1"/>
    <col min="18" max="18" width="9.3046875" bestFit="1" customWidth="1"/>
    <col min="19" max="19" width="10.23046875" bestFit="1" customWidth="1"/>
    <col min="20" max="20" width="9.3046875" bestFit="1" customWidth="1"/>
    <col min="21" max="21" width="8.23046875" bestFit="1" customWidth="1"/>
    <col min="22" max="22" width="10.84375" bestFit="1" customWidth="1"/>
    <col min="23" max="23" width="10.23046875" bestFit="1" customWidth="1"/>
  </cols>
  <sheetData>
    <row r="3" spans="1:14" x14ac:dyDescent="0.4">
      <c r="A3" s="33" t="s">
        <v>36</v>
      </c>
      <c r="B3" s="33" t="s">
        <v>731</v>
      </c>
    </row>
    <row r="4" spans="1:14" x14ac:dyDescent="0.4">
      <c r="A4" s="33" t="s">
        <v>732</v>
      </c>
      <c r="B4" s="1" t="s">
        <v>38</v>
      </c>
      <c r="C4" s="1" t="s">
        <v>40</v>
      </c>
      <c r="D4" s="1" t="s">
        <v>37</v>
      </c>
      <c r="E4" s="1" t="s">
        <v>42</v>
      </c>
      <c r="F4" s="1" t="s">
        <v>39</v>
      </c>
      <c r="G4" s="1" t="s">
        <v>43</v>
      </c>
      <c r="H4" s="1" t="s">
        <v>41</v>
      </c>
      <c r="I4" s="1" t="s">
        <v>649</v>
      </c>
      <c r="J4" t="s">
        <v>733</v>
      </c>
    </row>
    <row r="5" spans="1:14" x14ac:dyDescent="0.4">
      <c r="A5" s="32" t="s">
        <v>44</v>
      </c>
      <c r="B5" s="57">
        <v>201000</v>
      </c>
      <c r="C5" s="57">
        <v>220650</v>
      </c>
      <c r="D5" s="57">
        <v>74250</v>
      </c>
      <c r="E5" s="57">
        <v>53575</v>
      </c>
      <c r="F5" s="57">
        <v>12900</v>
      </c>
      <c r="G5" s="57">
        <v>42000</v>
      </c>
      <c r="H5" s="57">
        <v>31550</v>
      </c>
      <c r="I5" s="57">
        <v>28600</v>
      </c>
      <c r="J5" s="56">
        <v>664525</v>
      </c>
    </row>
    <row r="6" spans="1:14" x14ac:dyDescent="0.4">
      <c r="A6" s="39" t="s">
        <v>45</v>
      </c>
      <c r="B6" s="57"/>
      <c r="C6" s="57">
        <v>220650</v>
      </c>
      <c r="D6" s="57">
        <v>74250</v>
      </c>
      <c r="E6" s="57"/>
      <c r="F6" s="57"/>
      <c r="G6" s="57"/>
      <c r="H6" s="57"/>
      <c r="I6" s="57"/>
      <c r="J6" s="56">
        <v>294900</v>
      </c>
    </row>
    <row r="7" spans="1:14" x14ac:dyDescent="0.4">
      <c r="A7" s="39" t="s">
        <v>46</v>
      </c>
      <c r="B7" s="57">
        <v>201000</v>
      </c>
      <c r="C7" s="57"/>
      <c r="D7" s="57"/>
      <c r="E7" s="57"/>
      <c r="F7" s="57"/>
      <c r="G7" s="57">
        <v>42000</v>
      </c>
      <c r="H7" s="57"/>
      <c r="I7" s="57"/>
      <c r="J7" s="56">
        <v>243000</v>
      </c>
    </row>
    <row r="8" spans="1:14" x14ac:dyDescent="0.4">
      <c r="A8" s="39" t="s">
        <v>47</v>
      </c>
      <c r="B8" s="57"/>
      <c r="C8" s="57"/>
      <c r="D8" s="57"/>
      <c r="E8" s="57"/>
      <c r="F8" s="57">
        <v>12900</v>
      </c>
      <c r="G8" s="57"/>
      <c r="H8" s="57"/>
      <c r="I8" s="57">
        <v>28600</v>
      </c>
      <c r="J8" s="56">
        <v>41500</v>
      </c>
    </row>
    <row r="9" spans="1:14" x14ac:dyDescent="0.4">
      <c r="A9" s="39" t="s">
        <v>48</v>
      </c>
      <c r="B9" s="57"/>
      <c r="C9" s="57"/>
      <c r="D9" s="57"/>
      <c r="E9" s="57">
        <v>53575</v>
      </c>
      <c r="F9" s="57"/>
      <c r="G9" s="57"/>
      <c r="H9" s="57"/>
      <c r="I9" s="57"/>
      <c r="J9" s="56">
        <v>53575</v>
      </c>
    </row>
    <row r="10" spans="1:14" x14ac:dyDescent="0.4">
      <c r="A10" s="39" t="s">
        <v>49</v>
      </c>
      <c r="B10" s="57"/>
      <c r="C10" s="57"/>
      <c r="D10" s="57"/>
      <c r="E10" s="57"/>
      <c r="F10" s="57"/>
      <c r="G10" s="57"/>
      <c r="H10" s="57">
        <v>31550</v>
      </c>
      <c r="I10" s="57"/>
      <c r="J10" s="56">
        <v>31550</v>
      </c>
    </row>
    <row r="11" spans="1:14" x14ac:dyDescent="0.4">
      <c r="A11" s="32" t="s">
        <v>50</v>
      </c>
      <c r="B11" s="57">
        <v>57250</v>
      </c>
      <c r="C11" s="57">
        <v>21000</v>
      </c>
      <c r="D11" s="57">
        <v>79430</v>
      </c>
      <c r="E11" s="57">
        <v>34000</v>
      </c>
      <c r="F11" s="57">
        <v>66225</v>
      </c>
      <c r="G11" s="57">
        <v>14175</v>
      </c>
      <c r="H11" s="57">
        <v>14700</v>
      </c>
      <c r="I11" s="57">
        <v>2550</v>
      </c>
      <c r="J11" s="56">
        <v>289330</v>
      </c>
    </row>
    <row r="12" spans="1:14" x14ac:dyDescent="0.4">
      <c r="A12" s="32" t="s">
        <v>733</v>
      </c>
      <c r="B12" s="57">
        <v>258250</v>
      </c>
      <c r="C12" s="57">
        <v>241650</v>
      </c>
      <c r="D12" s="57">
        <v>153680</v>
      </c>
      <c r="E12" s="57">
        <v>87575</v>
      </c>
      <c r="F12" s="57">
        <v>79125</v>
      </c>
      <c r="G12" s="57">
        <v>56175</v>
      </c>
      <c r="H12" s="57">
        <v>46250</v>
      </c>
      <c r="I12" s="57">
        <v>31150</v>
      </c>
      <c r="J12" s="56">
        <v>953855</v>
      </c>
    </row>
    <row r="14" spans="1:14" x14ac:dyDescent="0.4">
      <c r="N14" s="2"/>
    </row>
    <row r="18" spans="1:16" x14ac:dyDescent="0.4">
      <c r="A18" s="32"/>
      <c r="B18" s="42"/>
      <c r="C18" s="42"/>
      <c r="D18" s="42"/>
      <c r="E18" s="42"/>
      <c r="F18" s="42"/>
      <c r="G18" s="42"/>
      <c r="H18" s="42"/>
      <c r="I18" s="40"/>
    </row>
    <row r="19" spans="1:16" x14ac:dyDescent="0.4">
      <c r="A19" s="33" t="s">
        <v>51</v>
      </c>
      <c r="B19" t="s">
        <v>44</v>
      </c>
    </row>
    <row r="21" spans="1:16" x14ac:dyDescent="0.4">
      <c r="A21" s="33" t="s">
        <v>52</v>
      </c>
      <c r="B21" s="33" t="s">
        <v>731</v>
      </c>
    </row>
    <row r="22" spans="1:16" x14ac:dyDescent="0.4">
      <c r="A22" s="33" t="s">
        <v>732</v>
      </c>
      <c r="B22" s="1" t="s">
        <v>53</v>
      </c>
      <c r="C22" s="1" t="s">
        <v>54</v>
      </c>
      <c r="D22" s="1" t="s">
        <v>733</v>
      </c>
      <c r="E22" s="43" t="s">
        <v>55</v>
      </c>
      <c r="F22" s="43" t="s">
        <v>56</v>
      </c>
      <c r="G22" s="43" t="s">
        <v>57</v>
      </c>
      <c r="H22" s="43" t="s">
        <v>55</v>
      </c>
      <c r="I22" s="43" t="s">
        <v>58</v>
      </c>
      <c r="J22" s="43" t="s">
        <v>10</v>
      </c>
    </row>
    <row r="23" spans="1:16" x14ac:dyDescent="0.4">
      <c r="A23" s="32" t="s">
        <v>37</v>
      </c>
      <c r="B23" s="1">
        <v>5</v>
      </c>
      <c r="C23" s="1"/>
      <c r="D23" s="1">
        <v>5</v>
      </c>
      <c r="E23" s="50">
        <v>0</v>
      </c>
      <c r="F23" s="6">
        <f>GETPIVOTDATA("Alumno",$A$21,"Maestro","Hugo Vázquez","Tipo","G")*400</f>
        <v>2000</v>
      </c>
      <c r="G23" s="6">
        <f>GETPIVOTDATA("Alumno",$A$21,"Maestro","Hugo Vázquez","Tipo","I")*700</f>
        <v>0</v>
      </c>
      <c r="H23" s="2">
        <f t="shared" ref="H23:H29" si="0">80*E23</f>
        <v>0</v>
      </c>
      <c r="I23" s="2"/>
      <c r="J23" s="2">
        <f t="shared" ref="J23:J29" si="1">SUM(F23:I23)</f>
        <v>2000</v>
      </c>
      <c r="L23" s="2"/>
      <c r="P23" t="s">
        <v>587</v>
      </c>
    </row>
    <row r="24" spans="1:16" x14ac:dyDescent="0.4">
      <c r="A24" s="32" t="s">
        <v>38</v>
      </c>
      <c r="B24" s="1">
        <v>11</v>
      </c>
      <c r="C24" s="1">
        <v>1</v>
      </c>
      <c r="D24" s="1">
        <v>12</v>
      </c>
      <c r="E24" s="50">
        <v>0</v>
      </c>
      <c r="F24" s="6">
        <f>GETPIVOTDATA("Alumno",$A$21,"Maestro","Julio Olvera","Tipo","G")*400</f>
        <v>4400</v>
      </c>
      <c r="G24" s="6">
        <f>GETPIVOTDATA("Alumno",$A$21,"Maestro","Julio Olvera","Tipo","I")*700</f>
        <v>700</v>
      </c>
      <c r="H24" s="2">
        <f t="shared" si="0"/>
        <v>0</v>
      </c>
      <c r="I24" s="2"/>
      <c r="J24" s="2">
        <f t="shared" si="1"/>
        <v>5100</v>
      </c>
      <c r="P24" t="s">
        <v>588</v>
      </c>
    </row>
    <row r="25" spans="1:16" x14ac:dyDescent="0.4">
      <c r="A25" s="32" t="s">
        <v>39</v>
      </c>
      <c r="B25" s="1">
        <v>2</v>
      </c>
      <c r="C25" s="1"/>
      <c r="D25" s="1">
        <v>2</v>
      </c>
      <c r="E25" s="50">
        <v>0</v>
      </c>
      <c r="F25" s="6">
        <f>GETPIVOTDATA("Alumno",$A$21,"Maestro","Manuel Reyes","Tipo","G")*400</f>
        <v>800</v>
      </c>
      <c r="G25" s="6">
        <f>GETPIVOTDATA("Alumno",$A$21,"Maestro","Manuel Reyes","Tipo","I")*700</f>
        <v>0</v>
      </c>
      <c r="H25" s="2">
        <f t="shared" si="0"/>
        <v>0</v>
      </c>
      <c r="I25" s="2"/>
      <c r="J25" s="2">
        <f t="shared" si="1"/>
        <v>800</v>
      </c>
    </row>
    <row r="26" spans="1:16" x14ac:dyDescent="0.4">
      <c r="A26" s="32" t="s">
        <v>40</v>
      </c>
      <c r="B26" s="1">
        <v>14</v>
      </c>
      <c r="C26" s="1">
        <v>1</v>
      </c>
      <c r="D26" s="1">
        <v>15</v>
      </c>
      <c r="E26" s="50">
        <v>0</v>
      </c>
      <c r="F26" s="6">
        <f>GETPIVOTDATA("Alumno",$A$21,"Maestro","Irwin","Tipo","G")*400</f>
        <v>5600</v>
      </c>
      <c r="G26" s="6">
        <f>GETPIVOTDATA("Alumno",$A$21,"Maestro","Irwin","Tipo","I")*700</f>
        <v>700</v>
      </c>
      <c r="H26" s="2">
        <f t="shared" si="0"/>
        <v>0</v>
      </c>
      <c r="I26" s="2">
        <v>600</v>
      </c>
      <c r="J26" s="2">
        <f t="shared" si="1"/>
        <v>6900</v>
      </c>
    </row>
    <row r="27" spans="1:16" x14ac:dyDescent="0.4">
      <c r="A27" s="32" t="s">
        <v>42</v>
      </c>
      <c r="B27" s="1">
        <v>6</v>
      </c>
      <c r="C27" s="1"/>
      <c r="D27" s="1">
        <v>6</v>
      </c>
      <c r="E27" s="50">
        <v>0</v>
      </c>
      <c r="F27" s="6">
        <f>GETPIVOTDATA("Alumno",$A$21,"Maestro","Nahomy Perez","Tipo","G")*400</f>
        <v>2400</v>
      </c>
      <c r="G27" s="6">
        <f>GETPIVOTDATA("Alumno",$A$21,"Maestro","Nahomy Perez","Tipo","I")*700</f>
        <v>0</v>
      </c>
      <c r="H27" s="2">
        <f t="shared" si="0"/>
        <v>0</v>
      </c>
      <c r="I27" s="2"/>
      <c r="J27" s="2">
        <f t="shared" si="1"/>
        <v>2400</v>
      </c>
      <c r="P27">
        <v>2280</v>
      </c>
    </row>
    <row r="28" spans="1:16" x14ac:dyDescent="0.4">
      <c r="A28" s="32" t="s">
        <v>41</v>
      </c>
      <c r="B28" s="1">
        <v>2</v>
      </c>
      <c r="C28" s="1"/>
      <c r="D28" s="1">
        <v>2</v>
      </c>
      <c r="E28" s="50">
        <v>0</v>
      </c>
      <c r="F28" s="6">
        <f>GETPIVOTDATA("Alumno",$A$21,"Maestro","Luis Blanquet","Tipo","G")*400</f>
        <v>800</v>
      </c>
      <c r="G28" s="6">
        <f>GETPIVOTDATA("Alumno",$A$21,"Maestro","Demian Andrade","Tipo","I")*700</f>
        <v>0</v>
      </c>
      <c r="H28" s="2">
        <f t="shared" si="0"/>
        <v>0</v>
      </c>
      <c r="I28" s="2"/>
      <c r="J28" s="2">
        <f t="shared" si="1"/>
        <v>800</v>
      </c>
    </row>
    <row r="29" spans="1:16" x14ac:dyDescent="0.4">
      <c r="A29" s="32" t="s">
        <v>43</v>
      </c>
      <c r="B29" s="1">
        <v>4</v>
      </c>
      <c r="C29" s="1"/>
      <c r="D29" s="1">
        <v>4</v>
      </c>
      <c r="E29" s="50">
        <v>0</v>
      </c>
      <c r="F29" s="6">
        <f>GETPIVOTDATA("Alumno",$A$21,"Maestro","Demian Andrade")*400</f>
        <v>1600</v>
      </c>
      <c r="G29" s="6">
        <f>GETPIVOTDATA("Alumno",$A$21,"Maestro","Luis Blanquet","Tipo","I")*700</f>
        <v>0</v>
      </c>
      <c r="H29" s="2">
        <f t="shared" si="0"/>
        <v>0</v>
      </c>
      <c r="I29" s="2"/>
      <c r="J29" s="2">
        <f t="shared" si="1"/>
        <v>1600</v>
      </c>
    </row>
    <row r="30" spans="1:16" x14ac:dyDescent="0.4">
      <c r="A30" s="32" t="s">
        <v>649</v>
      </c>
      <c r="B30">
        <v>5</v>
      </c>
      <c r="D30">
        <v>5</v>
      </c>
      <c r="E30" s="52"/>
      <c r="F30" s="44">
        <f t="shared" ref="F30:I30" si="2">SUM(F23:F29)</f>
        <v>17600</v>
      </c>
      <c r="G30" s="44">
        <f t="shared" si="2"/>
        <v>1400</v>
      </c>
      <c r="H30" s="44">
        <f t="shared" si="2"/>
        <v>0</v>
      </c>
      <c r="I30" s="44">
        <f t="shared" si="2"/>
        <v>600</v>
      </c>
      <c r="J30" s="44">
        <f>SUM(J23:J29)</f>
        <v>19600</v>
      </c>
    </row>
    <row r="31" spans="1:16" x14ac:dyDescent="0.4">
      <c r="A31" s="32" t="s">
        <v>733</v>
      </c>
      <c r="B31" s="1">
        <v>49</v>
      </c>
      <c r="C31" s="1">
        <v>2</v>
      </c>
      <c r="D31" s="1">
        <v>51</v>
      </c>
    </row>
    <row r="32" spans="1:16" x14ac:dyDescent="0.4">
      <c r="E32" s="32"/>
    </row>
    <row r="33" spans="1:4" x14ac:dyDescent="0.4">
      <c r="A33" s="33" t="s">
        <v>51</v>
      </c>
      <c r="B33" t="s">
        <v>734</v>
      </c>
    </row>
    <row r="35" spans="1:4" x14ac:dyDescent="0.4">
      <c r="A35" s="33" t="s">
        <v>735</v>
      </c>
      <c r="B35" s="33" t="s">
        <v>731</v>
      </c>
    </row>
    <row r="36" spans="1:4" x14ac:dyDescent="0.4">
      <c r="A36" s="33" t="s">
        <v>732</v>
      </c>
      <c r="B36" s="1" t="s">
        <v>53</v>
      </c>
      <c r="C36" s="1" t="s">
        <v>54</v>
      </c>
      <c r="D36" t="s">
        <v>733</v>
      </c>
    </row>
    <row r="37" spans="1:4" x14ac:dyDescent="0.4">
      <c r="A37" s="32" t="s">
        <v>45</v>
      </c>
      <c r="B37" s="50">
        <v>25825</v>
      </c>
      <c r="C37" s="50">
        <v>1800</v>
      </c>
      <c r="D37" s="50">
        <v>27625</v>
      </c>
    </row>
    <row r="38" spans="1:4" x14ac:dyDescent="0.4">
      <c r="A38" s="32" t="s">
        <v>46</v>
      </c>
      <c r="B38" s="50">
        <v>22175</v>
      </c>
      <c r="C38" s="50">
        <v>1800</v>
      </c>
      <c r="D38" s="50">
        <v>23975</v>
      </c>
    </row>
    <row r="39" spans="1:4" x14ac:dyDescent="0.4">
      <c r="A39" s="32" t="s">
        <v>47</v>
      </c>
      <c r="B39" s="50">
        <v>10525</v>
      </c>
      <c r="C39" s="50"/>
      <c r="D39" s="50">
        <v>10525</v>
      </c>
    </row>
    <row r="40" spans="1:4" x14ac:dyDescent="0.4">
      <c r="A40" s="32" t="s">
        <v>48</v>
      </c>
      <c r="B40" s="50">
        <v>8900</v>
      </c>
      <c r="C40" s="50"/>
      <c r="D40" s="50">
        <v>8900</v>
      </c>
    </row>
    <row r="41" spans="1:4" x14ac:dyDescent="0.4">
      <c r="A41" s="32" t="s">
        <v>49</v>
      </c>
      <c r="B41" s="50">
        <v>2700</v>
      </c>
      <c r="C41" s="50"/>
      <c r="D41" s="50">
        <v>2700</v>
      </c>
    </row>
    <row r="42" spans="1:4" x14ac:dyDescent="0.4">
      <c r="A42" s="32" t="s">
        <v>733</v>
      </c>
      <c r="B42" s="50">
        <v>70125</v>
      </c>
      <c r="C42" s="50">
        <v>3600</v>
      </c>
      <c r="D42" s="50">
        <v>73725</v>
      </c>
    </row>
    <row r="47" spans="1:4" x14ac:dyDescent="0.4">
      <c r="A47" s="33" t="s">
        <v>631</v>
      </c>
      <c r="B47" s="33" t="s">
        <v>731</v>
      </c>
    </row>
    <row r="48" spans="1:4" x14ac:dyDescent="0.4">
      <c r="A48" s="33" t="s">
        <v>732</v>
      </c>
      <c r="B48" s="1" t="s">
        <v>44</v>
      </c>
      <c r="C48" s="1" t="s">
        <v>50</v>
      </c>
      <c r="D48" t="s">
        <v>733</v>
      </c>
    </row>
    <row r="49" spans="1:4" x14ac:dyDescent="0.4">
      <c r="A49" s="32" t="s">
        <v>37</v>
      </c>
      <c r="B49" s="50">
        <v>5</v>
      </c>
      <c r="C49" s="50">
        <v>15</v>
      </c>
      <c r="D49" s="50">
        <v>20</v>
      </c>
    </row>
    <row r="50" spans="1:4" x14ac:dyDescent="0.4">
      <c r="A50" s="32" t="s">
        <v>40</v>
      </c>
      <c r="B50" s="50">
        <v>15</v>
      </c>
      <c r="C50" s="50">
        <v>7</v>
      </c>
      <c r="D50" s="50">
        <v>22</v>
      </c>
    </row>
    <row r="51" spans="1:4" x14ac:dyDescent="0.4">
      <c r="A51" s="32" t="s">
        <v>38</v>
      </c>
      <c r="B51" s="50">
        <v>12</v>
      </c>
      <c r="C51" s="50">
        <v>9</v>
      </c>
      <c r="D51" s="50">
        <v>21</v>
      </c>
    </row>
    <row r="52" spans="1:4" x14ac:dyDescent="0.4">
      <c r="A52" s="32" t="s">
        <v>43</v>
      </c>
      <c r="B52" s="50">
        <v>4</v>
      </c>
      <c r="C52" s="50">
        <v>3</v>
      </c>
      <c r="D52" s="50">
        <v>7</v>
      </c>
    </row>
    <row r="53" spans="1:4" x14ac:dyDescent="0.4">
      <c r="A53" s="32" t="s">
        <v>39</v>
      </c>
      <c r="B53" s="50">
        <v>2</v>
      </c>
      <c r="C53" s="50">
        <v>12</v>
      </c>
      <c r="D53" s="50">
        <v>14</v>
      </c>
    </row>
    <row r="54" spans="1:4" x14ac:dyDescent="0.4">
      <c r="A54" s="32" t="s">
        <v>42</v>
      </c>
      <c r="B54" s="50">
        <v>6</v>
      </c>
      <c r="C54" s="50">
        <v>9</v>
      </c>
      <c r="D54" s="50">
        <v>15</v>
      </c>
    </row>
    <row r="55" spans="1:4" x14ac:dyDescent="0.4">
      <c r="A55" s="32" t="s">
        <v>41</v>
      </c>
      <c r="B55" s="50">
        <v>2</v>
      </c>
      <c r="C55" s="50">
        <v>3</v>
      </c>
      <c r="D55" s="50">
        <v>5</v>
      </c>
    </row>
    <row r="56" spans="1:4" x14ac:dyDescent="0.4">
      <c r="A56" s="32" t="s">
        <v>649</v>
      </c>
      <c r="B56" s="50">
        <v>5</v>
      </c>
      <c r="C56" s="50">
        <v>1</v>
      </c>
      <c r="D56" s="50">
        <v>6</v>
      </c>
    </row>
    <row r="57" spans="1:4" x14ac:dyDescent="0.4">
      <c r="A57" s="32" t="s">
        <v>733</v>
      </c>
      <c r="B57" s="50">
        <v>51</v>
      </c>
      <c r="C57" s="50">
        <v>59</v>
      </c>
      <c r="D57" s="50">
        <v>110</v>
      </c>
    </row>
    <row r="58" spans="1:4" x14ac:dyDescent="0.4">
      <c r="A58" s="32"/>
      <c r="B58" s="50"/>
      <c r="C58" s="50"/>
      <c r="D58" s="50"/>
    </row>
    <row r="59" spans="1:4" x14ac:dyDescent="0.4">
      <c r="A59" s="33" t="s">
        <v>51</v>
      </c>
      <c r="B59" t="s">
        <v>734</v>
      </c>
    </row>
    <row r="61" spans="1:4" x14ac:dyDescent="0.4">
      <c r="A61" s="33" t="s">
        <v>735</v>
      </c>
      <c r="B61" s="33" t="s">
        <v>731</v>
      </c>
    </row>
    <row r="62" spans="1:4" x14ac:dyDescent="0.4">
      <c r="A62" s="33" t="s">
        <v>732</v>
      </c>
      <c r="B62" s="1" t="s">
        <v>53</v>
      </c>
      <c r="C62" s="1" t="s">
        <v>54</v>
      </c>
      <c r="D62" t="s">
        <v>733</v>
      </c>
    </row>
    <row r="63" spans="1:4" x14ac:dyDescent="0.4">
      <c r="A63" s="32" t="s">
        <v>37</v>
      </c>
      <c r="B63" s="50">
        <v>6525</v>
      </c>
      <c r="C63" s="50">
        <v>0</v>
      </c>
      <c r="D63" s="50">
        <v>6525</v>
      </c>
    </row>
    <row r="64" spans="1:4" x14ac:dyDescent="0.4">
      <c r="A64" s="32" t="s">
        <v>40</v>
      </c>
      <c r="B64" s="50">
        <v>19300</v>
      </c>
      <c r="C64" s="50">
        <v>1800</v>
      </c>
      <c r="D64" s="50">
        <v>21100</v>
      </c>
    </row>
    <row r="65" spans="1:4" x14ac:dyDescent="0.4">
      <c r="A65" s="32" t="s">
        <v>38</v>
      </c>
      <c r="B65" s="50">
        <v>15575</v>
      </c>
      <c r="C65" s="50">
        <v>1800</v>
      </c>
      <c r="D65" s="50">
        <v>17375</v>
      </c>
    </row>
    <row r="66" spans="1:4" x14ac:dyDescent="0.4">
      <c r="A66" s="32" t="s">
        <v>43</v>
      </c>
      <c r="B66" s="50">
        <v>6600</v>
      </c>
      <c r="C66" s="50"/>
      <c r="D66" s="50">
        <v>6600</v>
      </c>
    </row>
    <row r="67" spans="1:4" x14ac:dyDescent="0.4">
      <c r="A67" s="32" t="s">
        <v>42</v>
      </c>
      <c r="B67" s="50">
        <v>8900</v>
      </c>
      <c r="C67" s="50"/>
      <c r="D67" s="50">
        <v>8900</v>
      </c>
    </row>
    <row r="68" spans="1:4" x14ac:dyDescent="0.4">
      <c r="A68" s="32" t="s">
        <v>41</v>
      </c>
      <c r="B68" s="50">
        <v>2700</v>
      </c>
      <c r="C68" s="50"/>
      <c r="D68" s="50">
        <v>2700</v>
      </c>
    </row>
    <row r="69" spans="1:4" x14ac:dyDescent="0.4">
      <c r="A69" s="32" t="s">
        <v>39</v>
      </c>
      <c r="B69" s="50">
        <v>3900</v>
      </c>
      <c r="C69" s="50"/>
      <c r="D69" s="50">
        <v>3900</v>
      </c>
    </row>
    <row r="70" spans="1:4" x14ac:dyDescent="0.4">
      <c r="A70" s="32" t="s">
        <v>649</v>
      </c>
      <c r="B70" s="50">
        <v>6625</v>
      </c>
      <c r="C70" s="50"/>
      <c r="D70" s="50">
        <v>6625</v>
      </c>
    </row>
    <row r="71" spans="1:4" x14ac:dyDescent="0.4">
      <c r="A71" s="32" t="s">
        <v>733</v>
      </c>
      <c r="B71" s="50">
        <v>70125</v>
      </c>
      <c r="C71" s="50">
        <v>3600</v>
      </c>
      <c r="D71" s="50">
        <v>73725</v>
      </c>
    </row>
    <row r="73" spans="1:4" x14ac:dyDescent="0.4">
      <c r="A73" s="33" t="s">
        <v>51</v>
      </c>
      <c r="B73" t="s">
        <v>44</v>
      </c>
    </row>
    <row r="75" spans="1:4" x14ac:dyDescent="0.4">
      <c r="A75" s="33" t="s">
        <v>52</v>
      </c>
      <c r="B75" s="33" t="s">
        <v>731</v>
      </c>
    </row>
    <row r="76" spans="1:4" x14ac:dyDescent="0.4">
      <c r="A76" s="33" t="s">
        <v>732</v>
      </c>
      <c r="B76" s="1" t="s">
        <v>53</v>
      </c>
      <c r="C76" s="1" t="s">
        <v>54</v>
      </c>
      <c r="D76" t="s">
        <v>733</v>
      </c>
    </row>
    <row r="77" spans="1:4" x14ac:dyDescent="0.4">
      <c r="A77" s="32" t="s">
        <v>45</v>
      </c>
      <c r="B77" s="50">
        <v>19</v>
      </c>
      <c r="C77" s="50">
        <v>1</v>
      </c>
      <c r="D77" s="50">
        <v>20</v>
      </c>
    </row>
    <row r="78" spans="1:4" x14ac:dyDescent="0.4">
      <c r="A78" s="32" t="s">
        <v>46</v>
      </c>
      <c r="B78" s="50">
        <v>15</v>
      </c>
      <c r="C78" s="50">
        <v>1</v>
      </c>
      <c r="D78" s="50">
        <v>16</v>
      </c>
    </row>
    <row r="79" spans="1:4" x14ac:dyDescent="0.4">
      <c r="A79" s="32" t="s">
        <v>49</v>
      </c>
      <c r="B79" s="50">
        <v>2</v>
      </c>
      <c r="C79" s="50"/>
      <c r="D79" s="50">
        <v>2</v>
      </c>
    </row>
    <row r="80" spans="1:4" x14ac:dyDescent="0.4">
      <c r="A80" s="32" t="s">
        <v>48</v>
      </c>
      <c r="B80" s="50">
        <v>6</v>
      </c>
      <c r="C80" s="50"/>
      <c r="D80" s="50">
        <v>6</v>
      </c>
    </row>
    <row r="81" spans="1:4" x14ac:dyDescent="0.4">
      <c r="A81" s="32" t="s">
        <v>47</v>
      </c>
      <c r="B81" s="50">
        <v>7</v>
      </c>
      <c r="C81" s="50"/>
      <c r="D81" s="50">
        <v>7</v>
      </c>
    </row>
    <row r="82" spans="1:4" x14ac:dyDescent="0.4">
      <c r="A82" s="32" t="s">
        <v>733</v>
      </c>
      <c r="B82" s="50">
        <v>49</v>
      </c>
      <c r="C82" s="50">
        <v>2</v>
      </c>
      <c r="D82" s="50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0105-3A59-49D8-BD5A-3DA537A00814}">
  <dimension ref="A1:BB45"/>
  <sheetViews>
    <sheetView topLeftCell="AJ12" workbookViewId="0">
      <selection activeCell="M41" sqref="M41"/>
    </sheetView>
  </sheetViews>
  <sheetFormatPr baseColWidth="10" defaultColWidth="8.84375" defaultRowHeight="14.6" x14ac:dyDescent="0.4"/>
  <cols>
    <col min="1" max="1" width="1.3046875" customWidth="1"/>
    <col min="2" max="2" width="12.69140625" bestFit="1" customWidth="1"/>
    <col min="3" max="3" width="15" style="5" bestFit="1" customWidth="1"/>
    <col min="4" max="5" width="15.07421875" style="5" customWidth="1"/>
    <col min="6" max="7" width="15.07421875" customWidth="1"/>
    <col min="8" max="11" width="12.84375" customWidth="1"/>
    <col min="12" max="12" width="23.23046875" customWidth="1"/>
    <col min="13" max="13" width="14.07421875" customWidth="1"/>
    <col min="14" max="14" width="10.4609375" bestFit="1" customWidth="1"/>
    <col min="15" max="15" width="11.4609375" bestFit="1" customWidth="1"/>
    <col min="16" max="16" width="12.53515625" bestFit="1" customWidth="1"/>
    <col min="17" max="18" width="10.4609375" bestFit="1" customWidth="1"/>
    <col min="19" max="20" width="11.4609375" bestFit="1" customWidth="1"/>
    <col min="21" max="23" width="10.4609375" bestFit="1" customWidth="1"/>
    <col min="24" max="24" width="11.4609375" bestFit="1" customWidth="1"/>
    <col min="25" max="26" width="10.4609375" bestFit="1" customWidth="1"/>
    <col min="27" max="27" width="11.3046875" bestFit="1" customWidth="1"/>
    <col min="28" max="28" width="11.4609375" bestFit="1" customWidth="1"/>
    <col min="29" max="29" width="12.53515625" bestFit="1" customWidth="1"/>
    <col min="30" max="30" width="14" bestFit="1" customWidth="1"/>
    <col min="31" max="32" width="16.84375" bestFit="1" customWidth="1"/>
    <col min="33" max="33" width="13" bestFit="1" customWidth="1"/>
    <col min="34" max="34" width="10.07421875" bestFit="1" customWidth="1"/>
    <col min="35" max="35" width="12.4609375" bestFit="1" customWidth="1"/>
    <col min="36" max="36" width="10.23046875" bestFit="1" customWidth="1"/>
    <col min="37" max="37" width="13.23046875" customWidth="1"/>
    <col min="38" max="38" width="10.07421875" bestFit="1" customWidth="1"/>
    <col min="39" max="39" width="10.23046875" bestFit="1" customWidth="1"/>
    <col min="40" max="40" width="10.07421875" bestFit="1" customWidth="1"/>
    <col min="41" max="41" width="11.07421875" bestFit="1" customWidth="1"/>
    <col min="42" max="44" width="10.07421875" bestFit="1" customWidth="1"/>
    <col min="45" max="45" width="11.07421875" bestFit="1" customWidth="1"/>
    <col min="46" max="46" width="12.4609375" customWidth="1"/>
    <col min="47" max="47" width="13.23046875" customWidth="1"/>
    <col min="48" max="48" width="12.53515625" customWidth="1"/>
    <col min="49" max="49" width="11.07421875" customWidth="1"/>
    <col min="50" max="51" width="12.69140625" bestFit="1" customWidth="1"/>
    <col min="52" max="53" width="9.3046875" bestFit="1" customWidth="1"/>
    <col min="54" max="54" width="12.4609375" bestFit="1" customWidth="1"/>
    <col min="55" max="57" width="9.3046875" bestFit="1" customWidth="1"/>
    <col min="58" max="60" width="8.3046875" bestFit="1" customWidth="1"/>
    <col min="61" max="61" width="9.3046875" bestFit="1" customWidth="1"/>
    <col min="62" max="62" width="9.69140625" bestFit="1" customWidth="1"/>
    <col min="63" max="70" width="9.3046875" bestFit="1" customWidth="1"/>
    <col min="71" max="77" width="10.3046875" bestFit="1" customWidth="1"/>
    <col min="78" max="78" width="9.3046875" bestFit="1" customWidth="1"/>
    <col min="79" max="89" width="10.3046875" bestFit="1" customWidth="1"/>
    <col min="90" max="91" width="9.3046875" bestFit="1" customWidth="1"/>
    <col min="92" max="97" width="10.3046875" bestFit="1" customWidth="1"/>
    <col min="98" max="98" width="8.69140625" bestFit="1" customWidth="1"/>
    <col min="99" max="100" width="8.3046875" bestFit="1" customWidth="1"/>
    <col min="101" max="105" width="9.3046875" bestFit="1" customWidth="1"/>
    <col min="106" max="106" width="9.69140625" bestFit="1" customWidth="1"/>
    <col min="107" max="108" width="9.3046875" bestFit="1" customWidth="1"/>
    <col min="109" max="109" width="8.69140625" bestFit="1" customWidth="1"/>
    <col min="110" max="115" width="9.3046875" bestFit="1" customWidth="1"/>
    <col min="116" max="116" width="9.69140625" bestFit="1" customWidth="1"/>
    <col min="117" max="117" width="9.3046875" bestFit="1" customWidth="1"/>
    <col min="118" max="118" width="10.23046875" bestFit="1" customWidth="1"/>
    <col min="119" max="119" width="9.3046875" bestFit="1" customWidth="1"/>
    <col min="120" max="120" width="8.69140625" bestFit="1" customWidth="1"/>
    <col min="121" max="122" width="8.3046875" bestFit="1" customWidth="1"/>
    <col min="123" max="126" width="9.3046875" bestFit="1" customWidth="1"/>
    <col min="127" max="127" width="9.69140625" bestFit="1" customWidth="1"/>
    <col min="128" max="130" width="9.3046875" bestFit="1" customWidth="1"/>
    <col min="131" max="131" width="8.3046875" bestFit="1" customWidth="1"/>
    <col min="132" max="132" width="9.3046875" bestFit="1" customWidth="1"/>
    <col min="133" max="133" width="6.4609375" bestFit="1" customWidth="1"/>
    <col min="134" max="137" width="9.3046875" bestFit="1" customWidth="1"/>
    <col min="138" max="138" width="8.69140625" bestFit="1" customWidth="1"/>
    <col min="139" max="139" width="8.3046875" bestFit="1" customWidth="1"/>
    <col min="140" max="140" width="8.69140625" bestFit="1" customWidth="1"/>
    <col min="141" max="141" width="8.3046875" bestFit="1" customWidth="1"/>
    <col min="142" max="149" width="9.3046875" bestFit="1" customWidth="1"/>
    <col min="150" max="150" width="9.69140625" bestFit="1" customWidth="1"/>
    <col min="151" max="151" width="9.3046875" bestFit="1" customWidth="1"/>
    <col min="152" max="152" width="8.3046875" bestFit="1" customWidth="1"/>
    <col min="153" max="154" width="9.3046875" bestFit="1" customWidth="1"/>
    <col min="155" max="155" width="8.3046875" bestFit="1" customWidth="1"/>
    <col min="156" max="156" width="9.3046875" bestFit="1" customWidth="1"/>
    <col min="157" max="157" width="9.69140625" bestFit="1" customWidth="1"/>
    <col min="158" max="158" width="9.3046875" bestFit="1" customWidth="1"/>
    <col min="159" max="159" width="9.69140625" bestFit="1" customWidth="1"/>
    <col min="160" max="162" width="9.3046875" bestFit="1" customWidth="1"/>
    <col min="163" max="164" width="8.3046875" bestFit="1" customWidth="1"/>
    <col min="165" max="167" width="9.3046875" bestFit="1" customWidth="1"/>
    <col min="168" max="168" width="9.69140625" bestFit="1" customWidth="1"/>
    <col min="169" max="169" width="9.3046875" bestFit="1" customWidth="1"/>
    <col min="170" max="170" width="9.69140625" bestFit="1" customWidth="1"/>
    <col min="171" max="171" width="9.3046875" bestFit="1" customWidth="1"/>
    <col min="172" max="173" width="8.3046875" bestFit="1" customWidth="1"/>
    <col min="174" max="177" width="9.3046875" bestFit="1" customWidth="1"/>
    <col min="178" max="178" width="9.69140625" bestFit="1" customWidth="1"/>
    <col min="179" max="180" width="9.3046875" bestFit="1" customWidth="1"/>
    <col min="181" max="181" width="9.69140625" bestFit="1" customWidth="1"/>
    <col min="182" max="183" width="8.3046875" bestFit="1" customWidth="1"/>
    <col min="184" max="185" width="9.3046875" bestFit="1" customWidth="1"/>
    <col min="186" max="186" width="9.69140625" bestFit="1" customWidth="1"/>
    <col min="187" max="187" width="9.3046875" bestFit="1" customWidth="1"/>
    <col min="188" max="188" width="9.69140625" bestFit="1" customWidth="1"/>
    <col min="189" max="189" width="8.69140625" bestFit="1" customWidth="1"/>
    <col min="190" max="191" width="9.3046875" bestFit="1" customWidth="1"/>
    <col min="192" max="197" width="10.3046875" bestFit="1" customWidth="1"/>
    <col min="198" max="199" width="9.3046875" bestFit="1" customWidth="1"/>
    <col min="200" max="204" width="10.3046875" bestFit="1" customWidth="1"/>
    <col min="205" max="205" width="8.3046875" bestFit="1" customWidth="1"/>
    <col min="206" max="207" width="10.3046875" bestFit="1" customWidth="1"/>
    <col min="208" max="209" width="9.3046875" bestFit="1" customWidth="1"/>
    <col min="210" max="215" width="10.3046875" bestFit="1" customWidth="1"/>
    <col min="216" max="216" width="8.69140625" bestFit="1" customWidth="1"/>
    <col min="217" max="219" width="9.3046875" bestFit="1" customWidth="1"/>
    <col min="220" max="220" width="9.69140625" bestFit="1" customWidth="1"/>
    <col min="221" max="222" width="9.3046875" bestFit="1" customWidth="1"/>
    <col min="223" max="223" width="9.69140625" bestFit="1" customWidth="1"/>
    <col min="224" max="224" width="8.3046875" bestFit="1" customWidth="1"/>
    <col min="225" max="225" width="9.3046875" bestFit="1" customWidth="1"/>
    <col min="226" max="226" width="10.69140625" bestFit="1" customWidth="1"/>
  </cols>
  <sheetData>
    <row r="1" spans="1:8" x14ac:dyDescent="0.4">
      <c r="A1" s="7"/>
      <c r="B1" s="7"/>
      <c r="C1" s="8"/>
      <c r="D1" s="8"/>
      <c r="E1" s="8"/>
      <c r="F1" s="7"/>
      <c r="G1" s="7"/>
      <c r="H1" s="7"/>
    </row>
    <row r="2" spans="1:8" ht="29.15" x14ac:dyDescent="0.4">
      <c r="A2" s="7"/>
      <c r="B2" s="7"/>
      <c r="C2" s="13" t="s">
        <v>12</v>
      </c>
      <c r="D2" s="14" t="s">
        <v>464</v>
      </c>
      <c r="E2" s="15" t="s">
        <v>465</v>
      </c>
      <c r="F2" s="15" t="s">
        <v>466</v>
      </c>
      <c r="G2" s="15" t="s">
        <v>467</v>
      </c>
      <c r="H2" s="7"/>
    </row>
    <row r="3" spans="1:8" s="1" customFormat="1" x14ac:dyDescent="0.4">
      <c r="A3" s="9"/>
      <c r="B3" s="9"/>
      <c r="C3" s="10" t="s">
        <v>166</v>
      </c>
      <c r="D3" s="11">
        <v>261199.86</v>
      </c>
      <c r="E3" s="11">
        <f>(F7/3)-GETPIVOTDATA("Total",$C$2,"Socio","Antonio Razo")</f>
        <v>-166130.04670000001</v>
      </c>
      <c r="F3" s="11">
        <f>E3+GETPIVOTDATA("Total",$C$2,"Socio","Antonio Razo")</f>
        <v>95069.81329999998</v>
      </c>
      <c r="G3" s="12">
        <f>GETPIVOTDATA("Total",$C$2,"Socio","Antonio Razo")/F3</f>
        <v>2.7474531708163146</v>
      </c>
      <c r="H3" s="9"/>
    </row>
    <row r="4" spans="1:8" x14ac:dyDescent="0.4">
      <c r="A4" s="7"/>
      <c r="B4" s="7"/>
      <c r="C4" s="10" t="s">
        <v>178</v>
      </c>
      <c r="D4" s="11">
        <v>78503</v>
      </c>
      <c r="E4" s="11">
        <f>(F7/3)-GETPIVOTDATA("Total",$C$2,"Socio","Hugo Vazquez")</f>
        <v>16566.813299999994</v>
      </c>
      <c r="F4" s="11">
        <f>E4+GETPIVOTDATA("Total",$C$2,"Socio","Hugo Vazquez")</f>
        <v>95069.813299999994</v>
      </c>
      <c r="G4" s="12">
        <f>GETPIVOTDATA("Total",$C$2,"Socio","Hugo Vazquez")/F4</f>
        <v>0.82574055081267317</v>
      </c>
      <c r="H4" s="7"/>
    </row>
    <row r="5" spans="1:8" x14ac:dyDescent="0.4">
      <c r="A5" s="7"/>
      <c r="B5" s="7"/>
      <c r="C5" s="24" t="s">
        <v>17</v>
      </c>
      <c r="D5" s="25">
        <v>292999.51999999996</v>
      </c>
      <c r="E5" s="25">
        <f>(F7/3)-GETPIVOTDATA("Total",$C$2,"Socio","Marco Delgado")</f>
        <v>-197929.70669999998</v>
      </c>
      <c r="F5" s="25">
        <f>GETPIVOTDATA("Total",$C$2,"Socio","Marco Delgado")+E5</f>
        <v>95069.81329999998</v>
      </c>
      <c r="G5" s="26">
        <f>GETPIVOTDATA("Total",$C$2,"Socio","Marco Delgado")/F5</f>
        <v>3.081940626888767</v>
      </c>
      <c r="H5" s="7"/>
    </row>
    <row r="6" spans="1:8" x14ac:dyDescent="0.4">
      <c r="A6" s="7"/>
      <c r="B6" s="7"/>
      <c r="C6" s="10" t="s">
        <v>278</v>
      </c>
      <c r="D6" s="11">
        <v>912834.74999999988</v>
      </c>
      <c r="H6" s="7"/>
    </row>
    <row r="7" spans="1:8" x14ac:dyDescent="0.4">
      <c r="A7" s="7"/>
      <c r="B7" s="7"/>
      <c r="C7" s="16" t="s">
        <v>733</v>
      </c>
      <c r="D7" s="17">
        <v>1545537.13</v>
      </c>
      <c r="E7" s="18">
        <f>SUM(E3:E5)</f>
        <v>-347492.94010000001</v>
      </c>
      <c r="F7" s="18">
        <v>285209.4399</v>
      </c>
      <c r="G7" s="19">
        <f>GETPIVOTDATA("Total",$C$2)/F7</f>
        <v>5.4189550336829502</v>
      </c>
      <c r="H7" s="7"/>
    </row>
    <row r="8" spans="1:8" x14ac:dyDescent="0.4">
      <c r="A8" s="7"/>
      <c r="B8" s="7"/>
      <c r="C8" s="7"/>
      <c r="D8" s="7"/>
      <c r="E8" s="7"/>
      <c r="F8" s="7"/>
      <c r="G8" s="7"/>
      <c r="H8" s="7"/>
    </row>
    <row r="9" spans="1:8" x14ac:dyDescent="0.4">
      <c r="A9" s="7"/>
      <c r="B9" s="7"/>
      <c r="C9" s="7"/>
      <c r="D9" s="7"/>
      <c r="E9" s="8"/>
      <c r="F9" s="7"/>
      <c r="G9" s="7"/>
      <c r="H9" s="7"/>
    </row>
    <row r="10" spans="1:8" x14ac:dyDescent="0.4">
      <c r="A10" s="7"/>
      <c r="B10" s="7"/>
      <c r="C10" s="7"/>
      <c r="D10" s="7"/>
      <c r="E10" s="8"/>
      <c r="F10" s="7"/>
      <c r="G10" s="7"/>
      <c r="H10" s="7"/>
    </row>
    <row r="11" spans="1:8" x14ac:dyDescent="0.4">
      <c r="A11" s="7"/>
      <c r="B11" s="7"/>
      <c r="C11" s="7"/>
      <c r="D11" s="7"/>
      <c r="E11" s="8"/>
      <c r="F11" s="7"/>
      <c r="G11" s="7"/>
      <c r="H11" s="7"/>
    </row>
    <row r="12" spans="1:8" x14ac:dyDescent="0.4">
      <c r="A12" s="7"/>
      <c r="B12" s="7"/>
      <c r="C12" s="7"/>
      <c r="D12" s="7"/>
      <c r="E12" s="8"/>
      <c r="F12" s="7"/>
      <c r="G12" s="7"/>
      <c r="H12" s="7"/>
    </row>
    <row r="13" spans="1:8" x14ac:dyDescent="0.4">
      <c r="A13" s="7"/>
      <c r="B13" s="7"/>
      <c r="C13" s="7"/>
      <c r="D13" s="7"/>
      <c r="E13" s="8"/>
      <c r="F13" s="7"/>
      <c r="G13" s="7"/>
      <c r="H13" s="7"/>
    </row>
    <row r="14" spans="1:8" x14ac:dyDescent="0.4">
      <c r="A14" s="7"/>
      <c r="B14" s="7"/>
      <c r="C14" s="8"/>
      <c r="D14" s="8"/>
      <c r="E14" s="8"/>
      <c r="F14" s="7"/>
      <c r="G14" s="7"/>
      <c r="H14" s="7"/>
    </row>
    <row r="15" spans="1:8" x14ac:dyDescent="0.4">
      <c r="A15" s="7"/>
      <c r="B15" s="7"/>
      <c r="C15" s="8"/>
      <c r="D15" s="8"/>
      <c r="E15" s="8"/>
      <c r="F15" s="7"/>
      <c r="G15" s="7"/>
      <c r="H15" s="7"/>
    </row>
    <row r="16" spans="1:8" x14ac:dyDescent="0.4">
      <c r="A16" s="7"/>
      <c r="B16" s="7"/>
      <c r="C16" s="8"/>
      <c r="D16" s="8"/>
      <c r="E16" s="8"/>
      <c r="F16" s="7"/>
      <c r="G16" s="7"/>
      <c r="H16" s="7"/>
    </row>
    <row r="17" spans="1:54" x14ac:dyDescent="0.4">
      <c r="A17" s="7"/>
      <c r="B17" s="7"/>
      <c r="C17" s="8"/>
      <c r="D17" s="8"/>
      <c r="E17" s="8"/>
      <c r="F17" s="7"/>
      <c r="G17" s="7"/>
      <c r="H17" s="7"/>
    </row>
    <row r="18" spans="1:54" x14ac:dyDescent="0.4">
      <c r="A18" s="7"/>
      <c r="B18" s="7"/>
      <c r="C18" s="8"/>
      <c r="D18" s="8"/>
      <c r="E18" s="8"/>
      <c r="F18" s="7"/>
      <c r="G18" s="7"/>
      <c r="H18" s="7"/>
    </row>
    <row r="19" spans="1:54" x14ac:dyDescent="0.4">
      <c r="A19" s="7"/>
      <c r="B19" s="7"/>
      <c r="C19" s="8"/>
      <c r="D19" s="8"/>
      <c r="E19" s="8"/>
      <c r="F19" s="7"/>
      <c r="G19" s="7"/>
      <c r="H19" s="7"/>
    </row>
    <row r="20" spans="1:54" x14ac:dyDescent="0.4">
      <c r="A20" s="7"/>
      <c r="B20" s="7"/>
      <c r="C20" s="8"/>
      <c r="D20" s="8"/>
      <c r="E20" s="8"/>
      <c r="F20" s="7"/>
      <c r="G20" s="7"/>
      <c r="H20" s="7"/>
      <c r="R20">
        <v>35223.68</v>
      </c>
      <c r="U20">
        <v>33034.660000000003</v>
      </c>
    </row>
    <row r="21" spans="1:54" x14ac:dyDescent="0.4">
      <c r="A21" s="7"/>
      <c r="B21" s="7"/>
      <c r="C21" s="8"/>
      <c r="D21" s="8"/>
      <c r="E21" s="8"/>
      <c r="F21" s="7"/>
      <c r="G21" s="7"/>
      <c r="H21" s="7"/>
      <c r="R21">
        <v>33603.68</v>
      </c>
      <c r="U21">
        <v>31534.66</v>
      </c>
    </row>
    <row r="22" spans="1:54" x14ac:dyDescent="0.4">
      <c r="A22" s="7"/>
      <c r="B22" s="7"/>
      <c r="C22" s="8"/>
      <c r="D22" s="8"/>
      <c r="E22" s="8"/>
      <c r="F22" s="7"/>
      <c r="G22" s="7"/>
      <c r="H22" s="7"/>
      <c r="R22">
        <f>R20-R21</f>
        <v>1620</v>
      </c>
      <c r="U22">
        <f>U20-U21</f>
        <v>1500.0000000000036</v>
      </c>
    </row>
    <row r="26" spans="1:54" x14ac:dyDescent="0.4">
      <c r="C26"/>
    </row>
    <row r="28" spans="1:54" x14ac:dyDescent="0.4">
      <c r="B28" s="33" t="s">
        <v>36</v>
      </c>
      <c r="C28" s="33" t="s">
        <v>731</v>
      </c>
      <c r="D28"/>
      <c r="E28"/>
    </row>
    <row r="29" spans="1:54" x14ac:dyDescent="0.4">
      <c r="C29" t="s">
        <v>501</v>
      </c>
      <c r="D29"/>
      <c r="E29"/>
      <c r="P29" t="s">
        <v>736</v>
      </c>
      <c r="Q29" t="s">
        <v>502</v>
      </c>
      <c r="AG29" t="s">
        <v>737</v>
      </c>
      <c r="AH29" t="s">
        <v>503</v>
      </c>
      <c r="AW29" t="s">
        <v>738</v>
      </c>
      <c r="AX29" t="s">
        <v>739</v>
      </c>
      <c r="BA29" t="s">
        <v>740</v>
      </c>
      <c r="BB29" t="s">
        <v>733</v>
      </c>
    </row>
    <row r="30" spans="1:54" x14ac:dyDescent="0.4">
      <c r="C30" t="s">
        <v>741</v>
      </c>
      <c r="D30" t="s">
        <v>742</v>
      </c>
      <c r="E30" t="s">
        <v>743</v>
      </c>
      <c r="G30" t="s">
        <v>744</v>
      </c>
      <c r="H30" t="s">
        <v>745</v>
      </c>
      <c r="K30" t="s">
        <v>746</v>
      </c>
      <c r="L30" t="s">
        <v>747</v>
      </c>
      <c r="O30" t="s">
        <v>748</v>
      </c>
      <c r="Q30" t="s">
        <v>741</v>
      </c>
      <c r="T30" t="s">
        <v>742</v>
      </c>
      <c r="U30" t="s">
        <v>743</v>
      </c>
      <c r="X30" t="s">
        <v>744</v>
      </c>
      <c r="Y30" t="s">
        <v>745</v>
      </c>
      <c r="AB30" t="s">
        <v>746</v>
      </c>
      <c r="AC30" t="s">
        <v>747</v>
      </c>
      <c r="AF30" t="s">
        <v>748</v>
      </c>
      <c r="AH30" t="s">
        <v>741</v>
      </c>
      <c r="AK30" t="s">
        <v>742</v>
      </c>
      <c r="AL30" t="s">
        <v>743</v>
      </c>
      <c r="AO30" t="s">
        <v>744</v>
      </c>
      <c r="AP30" t="s">
        <v>745</v>
      </c>
      <c r="AS30" t="s">
        <v>746</v>
      </c>
      <c r="AT30" t="s">
        <v>747</v>
      </c>
      <c r="AV30" t="s">
        <v>748</v>
      </c>
      <c r="AX30" t="s">
        <v>739</v>
      </c>
      <c r="AZ30" t="s">
        <v>740</v>
      </c>
    </row>
    <row r="31" spans="1:54" x14ac:dyDescent="0.4">
      <c r="C31" t="s">
        <v>749</v>
      </c>
      <c r="D31"/>
      <c r="E31" t="s">
        <v>750</v>
      </c>
      <c r="F31" t="s">
        <v>751</v>
      </c>
      <c r="H31" t="s">
        <v>752</v>
      </c>
      <c r="I31" t="s">
        <v>753</v>
      </c>
      <c r="J31" t="s">
        <v>754</v>
      </c>
      <c r="L31" t="s">
        <v>755</v>
      </c>
      <c r="M31" t="s">
        <v>756</v>
      </c>
      <c r="N31" t="s">
        <v>757</v>
      </c>
      <c r="Q31" t="s">
        <v>758</v>
      </c>
      <c r="R31" t="s">
        <v>759</v>
      </c>
      <c r="S31" t="s">
        <v>749</v>
      </c>
      <c r="U31" t="s">
        <v>760</v>
      </c>
      <c r="V31" t="s">
        <v>750</v>
      </c>
      <c r="W31" t="s">
        <v>751</v>
      </c>
      <c r="Y31" t="s">
        <v>752</v>
      </c>
      <c r="Z31" t="s">
        <v>753</v>
      </c>
      <c r="AA31" t="s">
        <v>754</v>
      </c>
      <c r="AC31" t="s">
        <v>755</v>
      </c>
      <c r="AD31" t="s">
        <v>756</v>
      </c>
      <c r="AE31" t="s">
        <v>757</v>
      </c>
      <c r="AH31" t="s">
        <v>758</v>
      </c>
      <c r="AI31" t="s">
        <v>759</v>
      </c>
      <c r="AJ31" t="s">
        <v>749</v>
      </c>
      <c r="AL31" t="s">
        <v>760</v>
      </c>
      <c r="AM31" t="s">
        <v>750</v>
      </c>
      <c r="AN31" t="s">
        <v>751</v>
      </c>
      <c r="AP31" t="s">
        <v>752</v>
      </c>
      <c r="AQ31" t="s">
        <v>753</v>
      </c>
      <c r="AR31" t="s">
        <v>754</v>
      </c>
      <c r="AT31" t="s">
        <v>755</v>
      </c>
      <c r="AU31" t="s">
        <v>756</v>
      </c>
      <c r="AX31" t="s">
        <v>739</v>
      </c>
      <c r="AY31" t="s">
        <v>740</v>
      </c>
    </row>
    <row r="32" spans="1:54" x14ac:dyDescent="0.4">
      <c r="B32" s="33" t="s">
        <v>732</v>
      </c>
      <c r="C32"/>
      <c r="D32"/>
      <c r="E32"/>
      <c r="AX32" t="s">
        <v>761</v>
      </c>
    </row>
    <row r="33" spans="2:54" x14ac:dyDescent="0.4">
      <c r="B33" s="32" t="s">
        <v>278</v>
      </c>
      <c r="C33" s="34"/>
      <c r="D33" s="34"/>
      <c r="E33" s="34"/>
      <c r="F33" s="34"/>
      <c r="G33" s="34"/>
      <c r="H33" s="34"/>
      <c r="I33" s="34">
        <v>963.36</v>
      </c>
      <c r="J33" s="34">
        <v>1545.1100000000001</v>
      </c>
      <c r="K33" s="34">
        <v>2508.4700000000003</v>
      </c>
      <c r="L33" s="34">
        <v>5260.75</v>
      </c>
      <c r="M33" s="34">
        <v>20016.98</v>
      </c>
      <c r="N33" s="34">
        <v>12162.279999999999</v>
      </c>
      <c r="O33" s="34">
        <v>37440.009999999995</v>
      </c>
      <c r="P33" s="34">
        <v>39948.479999999996</v>
      </c>
      <c r="Q33" s="34">
        <v>11440.68</v>
      </c>
      <c r="R33" s="34">
        <v>16410.68</v>
      </c>
      <c r="S33" s="34">
        <v>22778.17</v>
      </c>
      <c r="T33" s="34">
        <v>50629.53</v>
      </c>
      <c r="U33" s="34">
        <v>12361.66</v>
      </c>
      <c r="V33" s="34">
        <v>23881.25</v>
      </c>
      <c r="W33" s="34">
        <v>17430.900000000001</v>
      </c>
      <c r="X33" s="34">
        <v>53673.810000000005</v>
      </c>
      <c r="Y33" s="34">
        <v>25676.68</v>
      </c>
      <c r="Z33" s="34">
        <v>27511.86</v>
      </c>
      <c r="AA33" s="34">
        <v>30958.33</v>
      </c>
      <c r="AB33" s="34">
        <v>84146.87</v>
      </c>
      <c r="AC33" s="34">
        <v>35356.35</v>
      </c>
      <c r="AD33" s="34">
        <v>37474</v>
      </c>
      <c r="AE33" s="34">
        <v>43420.92</v>
      </c>
      <c r="AF33" s="34">
        <v>116251.27</v>
      </c>
      <c r="AG33" s="34">
        <v>304701.48000000004</v>
      </c>
      <c r="AH33" s="34">
        <v>33807.54</v>
      </c>
      <c r="AI33" s="34">
        <v>35746.07</v>
      </c>
      <c r="AJ33" s="34">
        <v>33930.33</v>
      </c>
      <c r="AK33" s="34">
        <v>103483.94</v>
      </c>
      <c r="AL33" s="34">
        <v>34921.31</v>
      </c>
      <c r="AM33" s="34">
        <v>44173.32</v>
      </c>
      <c r="AN33" s="34">
        <v>48879.64</v>
      </c>
      <c r="AO33" s="34">
        <v>127974.27</v>
      </c>
      <c r="AP33" s="34">
        <v>70352.76999999999</v>
      </c>
      <c r="AQ33" s="34">
        <v>53219.299999999996</v>
      </c>
      <c r="AR33" s="34">
        <v>57688.39</v>
      </c>
      <c r="AS33" s="34">
        <v>181260.45999999996</v>
      </c>
      <c r="AT33" s="34">
        <v>70196.850000000006</v>
      </c>
      <c r="AU33" s="34">
        <v>85269.27</v>
      </c>
      <c r="AV33" s="34">
        <v>155466.12</v>
      </c>
      <c r="AW33" s="34">
        <v>568184.79</v>
      </c>
      <c r="AX33" s="34"/>
      <c r="AY33" s="34"/>
      <c r="AZ33" s="34"/>
      <c r="BA33" s="34"/>
      <c r="BB33" s="34">
        <v>912834.75</v>
      </c>
    </row>
    <row r="34" spans="2:54" x14ac:dyDescent="0.4">
      <c r="B34" s="32" t="s">
        <v>166</v>
      </c>
      <c r="C34" s="34">
        <v>1569</v>
      </c>
      <c r="D34" s="34">
        <v>1569</v>
      </c>
      <c r="E34" s="34">
        <v>20000</v>
      </c>
      <c r="F34" s="34">
        <v>43655.859999999993</v>
      </c>
      <c r="G34" s="34">
        <v>63655.859999999993</v>
      </c>
      <c r="H34" s="34">
        <v>65809</v>
      </c>
      <c r="I34" s="34">
        <v>28916</v>
      </c>
      <c r="J34" s="34">
        <v>9216</v>
      </c>
      <c r="K34" s="34">
        <v>103941</v>
      </c>
      <c r="L34" s="34">
        <v>12200</v>
      </c>
      <c r="M34" s="34">
        <v>12870</v>
      </c>
      <c r="N34" s="34">
        <v>2560</v>
      </c>
      <c r="O34" s="34">
        <v>27630</v>
      </c>
      <c r="P34" s="34">
        <v>196795.86</v>
      </c>
      <c r="Q34" s="34">
        <v>9244</v>
      </c>
      <c r="R34" s="34">
        <v>6244</v>
      </c>
      <c r="S34" s="34">
        <v>5684</v>
      </c>
      <c r="T34" s="34">
        <v>21172</v>
      </c>
      <c r="U34" s="34">
        <v>8244</v>
      </c>
      <c r="V34" s="34">
        <v>4230</v>
      </c>
      <c r="W34" s="34">
        <v>8000</v>
      </c>
      <c r="X34" s="34">
        <v>20474</v>
      </c>
      <c r="Y34" s="34">
        <v>2560</v>
      </c>
      <c r="Z34" s="34"/>
      <c r="AA34" s="34">
        <v>5000</v>
      </c>
      <c r="AB34" s="34">
        <v>7560</v>
      </c>
      <c r="AC34" s="34"/>
      <c r="AD34" s="34">
        <v>2700</v>
      </c>
      <c r="AE34" s="34"/>
      <c r="AF34" s="34">
        <v>2700</v>
      </c>
      <c r="AG34" s="34">
        <v>51906</v>
      </c>
      <c r="AH34" s="34">
        <v>5000</v>
      </c>
      <c r="AI34" s="34"/>
      <c r="AJ34" s="34"/>
      <c r="AK34" s="34">
        <v>5000</v>
      </c>
      <c r="AL34" s="34"/>
      <c r="AM34" s="34">
        <v>2500</v>
      </c>
      <c r="AN34" s="34"/>
      <c r="AO34" s="34">
        <v>2500</v>
      </c>
      <c r="AP34" s="34"/>
      <c r="AQ34" s="34"/>
      <c r="AR34" s="34"/>
      <c r="AS34" s="34"/>
      <c r="AT34" s="34"/>
      <c r="AU34" s="34">
        <v>4998</v>
      </c>
      <c r="AV34" s="34">
        <v>4998</v>
      </c>
      <c r="AW34" s="34">
        <v>12498</v>
      </c>
      <c r="AX34" s="34"/>
      <c r="AY34" s="34"/>
      <c r="AZ34" s="34"/>
      <c r="BA34" s="34"/>
      <c r="BB34" s="34">
        <v>261199.86</v>
      </c>
    </row>
    <row r="35" spans="2:54" x14ac:dyDescent="0.4">
      <c r="B35" s="32" t="s">
        <v>17</v>
      </c>
      <c r="C35" s="34"/>
      <c r="D35" s="34"/>
      <c r="E35" s="34">
        <v>31238.949999999997</v>
      </c>
      <c r="F35" s="34">
        <v>56063.080000000009</v>
      </c>
      <c r="G35" s="34">
        <v>87302.03</v>
      </c>
      <c r="H35" s="34">
        <v>27101.08</v>
      </c>
      <c r="I35" s="34">
        <v>14329.98</v>
      </c>
      <c r="J35" s="34">
        <v>19088</v>
      </c>
      <c r="K35" s="34">
        <v>60519.06</v>
      </c>
      <c r="L35" s="34">
        <v>9580</v>
      </c>
      <c r="M35" s="34">
        <v>9939</v>
      </c>
      <c r="N35" s="34">
        <v>14459</v>
      </c>
      <c r="O35" s="34">
        <v>33978</v>
      </c>
      <c r="P35" s="34">
        <v>181799.09</v>
      </c>
      <c r="Q35" s="34">
        <v>13463</v>
      </c>
      <c r="R35" s="34">
        <v>10949</v>
      </c>
      <c r="S35" s="34">
        <v>2643</v>
      </c>
      <c r="T35" s="34">
        <v>27055</v>
      </c>
      <c r="U35" s="34">
        <v>10929</v>
      </c>
      <c r="V35" s="34">
        <v>6580</v>
      </c>
      <c r="W35" s="34">
        <v>12620</v>
      </c>
      <c r="X35" s="34">
        <v>30129</v>
      </c>
      <c r="Y35" s="34">
        <v>3569</v>
      </c>
      <c r="Z35" s="34">
        <v>6181</v>
      </c>
      <c r="AA35" s="34">
        <v>519</v>
      </c>
      <c r="AB35" s="34">
        <v>10269</v>
      </c>
      <c r="AC35" s="34">
        <v>519</v>
      </c>
      <c r="AD35" s="34">
        <v>34800</v>
      </c>
      <c r="AE35" s="34">
        <v>1761.44</v>
      </c>
      <c r="AF35" s="34">
        <v>37080.44</v>
      </c>
      <c r="AG35" s="34">
        <v>104533.44</v>
      </c>
      <c r="AH35" s="34">
        <v>1381</v>
      </c>
      <c r="AI35" s="34">
        <v>518.99</v>
      </c>
      <c r="AJ35" s="34">
        <v>2982</v>
      </c>
      <c r="AK35" s="34">
        <v>4881.99</v>
      </c>
      <c r="AL35" s="34">
        <v>519</v>
      </c>
      <c r="AM35" s="34">
        <v>646</v>
      </c>
      <c r="AN35" s="34"/>
      <c r="AO35" s="34">
        <v>1165</v>
      </c>
      <c r="AP35" s="34"/>
      <c r="AQ35" s="34"/>
      <c r="AR35" s="34"/>
      <c r="AS35" s="34"/>
      <c r="AT35" s="34">
        <v>620</v>
      </c>
      <c r="AU35" s="34"/>
      <c r="AV35" s="34">
        <v>620</v>
      </c>
      <c r="AW35" s="34">
        <v>6666.99</v>
      </c>
      <c r="AX35" s="34"/>
      <c r="AY35" s="34"/>
      <c r="AZ35" s="34"/>
      <c r="BA35" s="34"/>
      <c r="BB35" s="34">
        <v>292999.51999999996</v>
      </c>
    </row>
    <row r="36" spans="2:54" x14ac:dyDescent="0.4">
      <c r="B36" s="32" t="s">
        <v>178</v>
      </c>
      <c r="C36" s="34"/>
      <c r="D36" s="34"/>
      <c r="E36" s="34">
        <v>54378</v>
      </c>
      <c r="F36" s="34"/>
      <c r="G36" s="34">
        <v>54378</v>
      </c>
      <c r="H36" s="34">
        <v>12281</v>
      </c>
      <c r="I36" s="34">
        <v>4444</v>
      </c>
      <c r="J36" s="34">
        <v>2300</v>
      </c>
      <c r="K36" s="34">
        <v>19025</v>
      </c>
      <c r="L36" s="34">
        <v>3600</v>
      </c>
      <c r="M36" s="34"/>
      <c r="N36" s="34"/>
      <c r="O36" s="34">
        <v>3600</v>
      </c>
      <c r="P36" s="34">
        <v>77003</v>
      </c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>
        <v>1500</v>
      </c>
      <c r="AI36" s="34"/>
      <c r="AJ36" s="34"/>
      <c r="AK36" s="34">
        <v>1500</v>
      </c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>
        <v>1500</v>
      </c>
      <c r="AX36" s="34"/>
      <c r="AY36" s="34"/>
      <c r="AZ36" s="34"/>
      <c r="BA36" s="34"/>
      <c r="BB36" s="34">
        <v>78503</v>
      </c>
    </row>
    <row r="37" spans="2:54" x14ac:dyDescent="0.4">
      <c r="B37" s="32" t="s">
        <v>761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>
        <v>0</v>
      </c>
      <c r="AY37" s="34">
        <v>0</v>
      </c>
      <c r="AZ37" s="34">
        <v>0</v>
      </c>
      <c r="BA37" s="34">
        <v>0</v>
      </c>
      <c r="BB37" s="34">
        <v>0</v>
      </c>
    </row>
    <row r="38" spans="2:54" x14ac:dyDescent="0.4">
      <c r="B38" s="32" t="s">
        <v>733</v>
      </c>
      <c r="C38" s="34">
        <v>1569</v>
      </c>
      <c r="D38" s="34">
        <v>1569</v>
      </c>
      <c r="E38" s="34">
        <v>105616.95</v>
      </c>
      <c r="F38" s="34">
        <v>99718.94</v>
      </c>
      <c r="G38" s="34">
        <v>205335.88999999998</v>
      </c>
      <c r="H38" s="34">
        <v>105191.08</v>
      </c>
      <c r="I38" s="34">
        <v>48653.34</v>
      </c>
      <c r="J38" s="34">
        <v>32149.11</v>
      </c>
      <c r="K38" s="34">
        <v>185993.53</v>
      </c>
      <c r="L38" s="34">
        <v>30640.75</v>
      </c>
      <c r="M38" s="34">
        <v>42825.979999999996</v>
      </c>
      <c r="N38" s="34">
        <v>29181.279999999999</v>
      </c>
      <c r="O38" s="34">
        <v>102648.01</v>
      </c>
      <c r="P38" s="34">
        <v>495546.42999999993</v>
      </c>
      <c r="Q38" s="34">
        <v>34147.68</v>
      </c>
      <c r="R38" s="34">
        <v>33603.68</v>
      </c>
      <c r="S38" s="34">
        <v>31105.17</v>
      </c>
      <c r="T38" s="34">
        <v>98856.53</v>
      </c>
      <c r="U38" s="34">
        <v>31534.66</v>
      </c>
      <c r="V38" s="34">
        <v>34691.25</v>
      </c>
      <c r="W38" s="34">
        <v>38050.9</v>
      </c>
      <c r="X38" s="34">
        <v>104276.81</v>
      </c>
      <c r="Y38" s="34">
        <v>31805.68</v>
      </c>
      <c r="Z38" s="34">
        <v>33692.86</v>
      </c>
      <c r="AA38" s="34">
        <v>36477.33</v>
      </c>
      <c r="AB38" s="34">
        <v>101975.87</v>
      </c>
      <c r="AC38" s="34">
        <v>35875.35</v>
      </c>
      <c r="AD38" s="34">
        <v>74974</v>
      </c>
      <c r="AE38" s="34">
        <v>45182.36</v>
      </c>
      <c r="AF38" s="34">
        <v>156031.71000000002</v>
      </c>
      <c r="AG38" s="34">
        <v>461140.92000000004</v>
      </c>
      <c r="AH38" s="34">
        <v>41688.54</v>
      </c>
      <c r="AI38" s="34">
        <v>36265.06</v>
      </c>
      <c r="AJ38" s="34">
        <v>36912.33</v>
      </c>
      <c r="AK38" s="34">
        <v>114865.93000000001</v>
      </c>
      <c r="AL38" s="34">
        <v>35440.31</v>
      </c>
      <c r="AM38" s="34">
        <v>47319.32</v>
      </c>
      <c r="AN38" s="34">
        <v>48879.64</v>
      </c>
      <c r="AO38" s="34">
        <v>131639.27000000002</v>
      </c>
      <c r="AP38" s="34">
        <v>70352.76999999999</v>
      </c>
      <c r="AQ38" s="34">
        <v>53219.299999999996</v>
      </c>
      <c r="AR38" s="34">
        <v>57688.39</v>
      </c>
      <c r="AS38" s="34">
        <v>181260.45999999996</v>
      </c>
      <c r="AT38" s="34">
        <v>70816.850000000006</v>
      </c>
      <c r="AU38" s="34">
        <v>90267.27</v>
      </c>
      <c r="AV38" s="34">
        <v>161084.12</v>
      </c>
      <c r="AW38" s="34">
        <v>588849.78</v>
      </c>
      <c r="AX38" s="34">
        <v>0</v>
      </c>
      <c r="AY38" s="34">
        <v>0</v>
      </c>
      <c r="AZ38" s="34">
        <v>0</v>
      </c>
      <c r="BA38" s="34">
        <v>0</v>
      </c>
      <c r="BB38" s="34">
        <v>1545537.13</v>
      </c>
    </row>
    <row r="39" spans="2:54" x14ac:dyDescent="0.4">
      <c r="C39"/>
      <c r="D39"/>
      <c r="E39"/>
    </row>
    <row r="40" spans="2:54" x14ac:dyDescent="0.4">
      <c r="C40"/>
      <c r="D40"/>
      <c r="AJ40">
        <f>36912.33-'[1]Gastos Reales'!$AA$129</f>
        <v>0</v>
      </c>
    </row>
    <row r="41" spans="2:54" x14ac:dyDescent="0.4">
      <c r="C41"/>
      <c r="D41"/>
    </row>
    <row r="42" spans="2:54" x14ac:dyDescent="0.4">
      <c r="C42"/>
      <c r="D42"/>
    </row>
    <row r="43" spans="2:54" x14ac:dyDescent="0.4">
      <c r="C43"/>
      <c r="D43"/>
    </row>
    <row r="44" spans="2:54" x14ac:dyDescent="0.4">
      <c r="C44"/>
      <c r="D44"/>
    </row>
    <row r="45" spans="2:54" x14ac:dyDescent="0.4">
      <c r="C45"/>
      <c r="D45"/>
    </row>
  </sheetData>
  <pageMargins left="0.7" right="0.7" top="0.75" bottom="0.75" header="0.3" footer="0.3"/>
  <pageSetup orientation="portrait" horizontalDpi="0" verticalDpi="0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Ingresos Symbiot</vt:lpstr>
      <vt:lpstr>Gastos Symbiot</vt:lpstr>
      <vt:lpstr>Ingresos RockstarSkull</vt:lpstr>
      <vt:lpstr>Gastos RockstarSkull</vt:lpstr>
      <vt:lpstr>Ingresos por Maestro</vt:lpstr>
      <vt:lpstr>Grafico de gastos por socio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Antonio Delgado (marcodel)</dc:creator>
  <cp:keywords/>
  <dc:description/>
  <cp:lastModifiedBy>Marco Delgado</cp:lastModifiedBy>
  <cp:revision/>
  <cp:lastPrinted>2025-05-07T03:15:34Z</cp:lastPrinted>
  <dcterms:created xsi:type="dcterms:W3CDTF">2023-05-08T18:07:53Z</dcterms:created>
  <dcterms:modified xsi:type="dcterms:W3CDTF">2026-01-23T02:29:42Z</dcterms:modified>
  <cp:category/>
  <cp:contentStatus/>
</cp:coreProperties>
</file>